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800\YandexDisk\6TERM\СА\lab2\"/>
    </mc:Choice>
  </mc:AlternateContent>
  <xr:revisionPtr revIDLastSave="0" documentId="13_ncr:1_{8BC70717-B9C9-4FB8-A269-BAF506949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задани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1" l="1"/>
  <c r="K4" i="1"/>
  <c r="T21" i="1" l="1"/>
  <c r="T22" i="1"/>
  <c r="M22" i="1"/>
  <c r="M21" i="1"/>
  <c r="M20" i="1"/>
  <c r="M19" i="1"/>
  <c r="M18" i="1"/>
  <c r="M23" i="1" l="1"/>
  <c r="F21" i="1"/>
  <c r="F22" i="1"/>
  <c r="F20" i="1"/>
  <c r="F19" i="1"/>
  <c r="F18" i="1"/>
  <c r="T20" i="1"/>
  <c r="T19" i="1"/>
  <c r="F23" i="1" l="1"/>
  <c r="I22" i="1" s="1"/>
  <c r="T23" i="1"/>
  <c r="P22" i="1"/>
  <c r="P21" i="1"/>
  <c r="P20" i="1"/>
  <c r="P19" i="1"/>
  <c r="P18" i="1"/>
  <c r="K5" i="1"/>
  <c r="K6" i="1"/>
  <c r="I18" i="1" l="1"/>
  <c r="I19" i="1"/>
  <c r="I20" i="1"/>
  <c r="I21" i="1"/>
  <c r="W18" i="1"/>
  <c r="W22" i="1"/>
  <c r="W21" i="1"/>
  <c r="W20" i="1"/>
  <c r="W19" i="1"/>
  <c r="K7" i="1"/>
  <c r="N5" i="1" l="1"/>
  <c r="N4" i="1"/>
  <c r="N6" i="1"/>
  <c r="S6" i="1" l="1"/>
  <c r="S4" i="1"/>
  <c r="S2" i="1"/>
  <c r="S3" i="1"/>
  <c r="S5" i="1"/>
</calcChain>
</file>

<file path=xl/sharedStrings.xml><?xml version="1.0" encoding="utf-8"?>
<sst xmlns="http://schemas.openxmlformats.org/spreadsheetml/2006/main" count="98" uniqueCount="43">
  <si>
    <t>K1</t>
  </si>
  <si>
    <t>K2</t>
  </si>
  <si>
    <t>K3</t>
  </si>
  <si>
    <t>C1</t>
  </si>
  <si>
    <t>C2</t>
  </si>
  <si>
    <t>C3</t>
  </si>
  <si>
    <t>Сумма:</t>
  </si>
  <si>
    <t>Локал. приоритеты</t>
  </si>
  <si>
    <t>Lk1</t>
  </si>
  <si>
    <t>Lk2</t>
  </si>
  <si>
    <t>Lk3</t>
  </si>
  <si>
    <t>Ср. геом. cтрок</t>
  </si>
  <si>
    <t>C5</t>
  </si>
  <si>
    <t>C6</t>
  </si>
  <si>
    <t>L2</t>
  </si>
  <si>
    <t>L3</t>
  </si>
  <si>
    <t>L5</t>
  </si>
  <si>
    <t>L6</t>
  </si>
  <si>
    <t>G2</t>
  </si>
  <si>
    <t>G3</t>
  </si>
  <si>
    <t>G5</t>
  </si>
  <si>
    <t>G6</t>
  </si>
  <si>
    <t>Глобал. приоритеты</t>
  </si>
  <si>
    <t>Наил-й:</t>
  </si>
  <si>
    <t>М2</t>
  </si>
  <si>
    <t>М3</t>
  </si>
  <si>
    <t>М5</t>
  </si>
  <si>
    <t>М6</t>
  </si>
  <si>
    <t>Близость к ис¬точникам сырья</t>
  </si>
  <si>
    <t>Близость к по¬требителям</t>
  </si>
  <si>
    <t>Затраты на подготовку к строительству, млн ден.ед.</t>
  </si>
  <si>
    <t>Матрица парных сравнений “Близость к источникам сырья”</t>
  </si>
  <si>
    <t>Матрица парных сравнений “Близость к потребителям”</t>
  </si>
  <si>
    <t>Матрица парных сравнений “Затраты на подготовку ”</t>
  </si>
  <si>
    <t>М1</t>
  </si>
  <si>
    <t>С1</t>
  </si>
  <si>
    <t>С2</t>
  </si>
  <si>
    <t>С3</t>
  </si>
  <si>
    <t>L1</t>
  </si>
  <si>
    <t>M1</t>
  </si>
  <si>
    <t>M2</t>
  </si>
  <si>
    <t>M3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</si>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</sst>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/>
    <xf numFmtId="12" fontId="0" fillId="0" borderId="1" xfId="0" applyNumberFormat="1" applyBorder="1" applyAlignment="1">
      <alignment horizontal="right" vertical="center"/>
    </xf>
    <xf numFmtId="0" fontId="0" fillId="0" borderId="0" xfId="0" applyFill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5</xdr:row>
      <xdr:rowOff>144780</xdr:rowOff>
    </xdr:from>
    <xdr:to>
      <xdr:col>9</xdr:col>
      <xdr:colOff>525781</xdr:colOff>
      <xdr:row>25</xdr:row>
      <xdr:rowOff>140893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64F87A0-95CB-434B-A9DB-C8241BEA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1" y="1059180"/>
          <a:ext cx="5745480" cy="3653713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9</xdr:row>
      <xdr:rowOff>51391</xdr:rowOff>
    </xdr:from>
    <xdr:to>
      <xdr:col>20</xdr:col>
      <xdr:colOff>368746</xdr:colOff>
      <xdr:row>21</xdr:row>
      <xdr:rowOff>17519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293E37C-E483-4B8A-9D59-6CA4D009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9360" y="1697311"/>
          <a:ext cx="6251386" cy="216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D1" zoomScaleNormal="100" workbookViewId="0">
      <selection activeCell="O7" sqref="O7"/>
    </sheetView>
  </sheetViews>
  <sheetFormatPr defaultRowHeight="14.4" x14ac:dyDescent="0.3"/>
  <cols>
    <col min="2" max="2" width="9.88671875" customWidth="1"/>
    <col min="3" max="3" width="7.33203125" customWidth="1"/>
    <col min="4" max="4" width="21.44140625" customWidth="1"/>
  </cols>
  <sheetData>
    <row r="1" spans="1:24" x14ac:dyDescent="0.3">
      <c r="R1" s="20" t="s">
        <v>22</v>
      </c>
      <c r="S1" s="20"/>
    </row>
    <row r="2" spans="1:24" x14ac:dyDescent="0.3">
      <c r="A2" s="16"/>
      <c r="B2" s="17"/>
      <c r="C2" s="17"/>
      <c r="F2" s="21"/>
      <c r="G2" s="21"/>
      <c r="R2" s="6" t="s">
        <v>42</v>
      </c>
      <c r="S2" s="6">
        <f>I18*N4+P18*N5+W18*N6</f>
        <v>0.2775859671926198</v>
      </c>
    </row>
    <row r="3" spans="1:24" x14ac:dyDescent="0.3">
      <c r="A3" s="16"/>
      <c r="B3" s="17"/>
      <c r="C3" s="17"/>
      <c r="E3" s="4"/>
      <c r="F3" s="9" t="s">
        <v>0</v>
      </c>
      <c r="G3" s="9" t="s">
        <v>1</v>
      </c>
      <c r="H3" s="9" t="s">
        <v>2</v>
      </c>
      <c r="J3" s="24" t="s">
        <v>11</v>
      </c>
      <c r="K3" s="24"/>
      <c r="M3" s="24" t="s">
        <v>7</v>
      </c>
      <c r="N3" s="24"/>
      <c r="R3" s="6" t="s">
        <v>18</v>
      </c>
      <c r="S3" s="6">
        <f>I19*N4+P19*N5+W19*N6</f>
        <v>0.14601446552488004</v>
      </c>
    </row>
    <row r="4" spans="1:24" x14ac:dyDescent="0.3">
      <c r="A4" s="18" t="s">
        <v>28</v>
      </c>
      <c r="B4" s="18"/>
      <c r="C4" s="18"/>
      <c r="D4" s="19"/>
      <c r="E4" s="9" t="s">
        <v>0</v>
      </c>
      <c r="F4" s="5">
        <v>1</v>
      </c>
      <c r="G4" s="15">
        <v>3</v>
      </c>
      <c r="H4" s="4">
        <v>0.33333333333333331</v>
      </c>
      <c r="J4" s="6" t="s">
        <v>3</v>
      </c>
      <c r="K4" s="6">
        <f>GEOMEAN(F4:H4)</f>
        <v>1</v>
      </c>
      <c r="M4" s="6" t="s">
        <v>8</v>
      </c>
      <c r="N4" s="6">
        <f>K4/K7</f>
        <v>0.25828499437449498</v>
      </c>
      <c r="R4" s="6" t="s">
        <v>19</v>
      </c>
      <c r="S4" s="6">
        <f>I20*N4+P20*N5+W20*N6</f>
        <v>0.38533880188858011</v>
      </c>
    </row>
    <row r="5" spans="1:24" x14ac:dyDescent="0.3">
      <c r="A5" s="18" t="s">
        <v>29</v>
      </c>
      <c r="B5" s="18"/>
      <c r="C5" s="18"/>
      <c r="D5" s="19"/>
      <c r="E5" s="9" t="s">
        <v>1</v>
      </c>
      <c r="F5" s="4">
        <v>0.33333333333333331</v>
      </c>
      <c r="G5" s="5">
        <v>1</v>
      </c>
      <c r="H5" s="4">
        <v>0.2</v>
      </c>
      <c r="J5" s="6" t="s">
        <v>4</v>
      </c>
      <c r="K5" s="6">
        <f t="shared" ref="K5:K6" si="0">GEOMEAN(F5:H5)</f>
        <v>0.40548013303822666</v>
      </c>
      <c r="M5" s="6" t="s">
        <v>9</v>
      </c>
      <c r="N5" s="6">
        <f>K5/K7</f>
        <v>0.10472943388074786</v>
      </c>
      <c r="R5" s="6" t="s">
        <v>20</v>
      </c>
      <c r="S5" s="6">
        <f>I21*N4+P21*N5+W21*N6</f>
        <v>9.6856429236182734E-2</v>
      </c>
    </row>
    <row r="6" spans="1:24" x14ac:dyDescent="0.3">
      <c r="A6" s="18" t="s">
        <v>30</v>
      </c>
      <c r="B6" s="18"/>
      <c r="C6" s="18"/>
      <c r="D6" s="19"/>
      <c r="E6" s="9" t="s">
        <v>2</v>
      </c>
      <c r="F6" s="5">
        <v>3</v>
      </c>
      <c r="G6" s="5">
        <v>5</v>
      </c>
      <c r="H6" s="5">
        <v>1</v>
      </c>
      <c r="J6" s="6" t="s">
        <v>5</v>
      </c>
      <c r="K6" s="6">
        <f t="shared" si="0"/>
        <v>2.4662120743304699</v>
      </c>
      <c r="M6" s="6" t="s">
        <v>10</v>
      </c>
      <c r="N6" s="6">
        <f>K6/K7</f>
        <v>0.63698557174475712</v>
      </c>
      <c r="R6" s="6" t="s">
        <v>21</v>
      </c>
      <c r="S6" s="6">
        <f>I22*N4+P22*N5+W22*N6</f>
        <v>9.4204336157737295E-2</v>
      </c>
    </row>
    <row r="7" spans="1:24" x14ac:dyDescent="0.3">
      <c r="A7" s="16"/>
      <c r="B7" s="17"/>
      <c r="C7" s="17"/>
      <c r="J7" s="8" t="s">
        <v>6</v>
      </c>
      <c r="K7" s="1">
        <f>SUM(K3:K6)</f>
        <v>3.8716922073686968</v>
      </c>
      <c r="R7" s="14" t="s">
        <v>23</v>
      </c>
      <c r="S7" s="1" t="s">
        <v>19</v>
      </c>
    </row>
    <row r="8" spans="1:24" x14ac:dyDescent="0.3">
      <c r="A8" s="16"/>
      <c r="B8" s="17"/>
      <c r="C8" s="17"/>
    </row>
    <row r="9" spans="1:24" x14ac:dyDescent="0.3">
      <c r="A9" s="16"/>
      <c r="B9" s="17"/>
      <c r="C9" s="17"/>
      <c r="E9" s="21" t="s">
        <v>31</v>
      </c>
      <c r="F9" s="21"/>
      <c r="G9" s="21"/>
      <c r="H9" s="21"/>
      <c r="I9" s="21"/>
      <c r="J9" s="21"/>
      <c r="L9" s="21" t="s">
        <v>32</v>
      </c>
      <c r="M9" s="21"/>
      <c r="N9" s="21"/>
      <c r="O9" s="21"/>
      <c r="P9" s="21"/>
      <c r="Q9" s="21"/>
      <c r="S9" s="21" t="s">
        <v>33</v>
      </c>
      <c r="T9" s="21"/>
      <c r="U9" s="21"/>
      <c r="V9" s="21"/>
      <c r="W9" s="21"/>
      <c r="X9" s="21"/>
    </row>
    <row r="10" spans="1:24" x14ac:dyDescent="0.3">
      <c r="A10" s="16"/>
      <c r="B10" s="17"/>
      <c r="C10" s="17"/>
      <c r="E10" s="2"/>
      <c r="F10" s="3" t="s">
        <v>34</v>
      </c>
      <c r="G10" s="3" t="s">
        <v>24</v>
      </c>
      <c r="H10" s="3" t="s">
        <v>25</v>
      </c>
      <c r="I10" s="3" t="s">
        <v>26</v>
      </c>
      <c r="J10" s="3" t="s">
        <v>27</v>
      </c>
      <c r="L10" s="2"/>
      <c r="M10" s="10" t="s">
        <v>39</v>
      </c>
      <c r="N10" s="10" t="s">
        <v>40</v>
      </c>
      <c r="O10" s="10" t="s">
        <v>41</v>
      </c>
      <c r="P10" s="10" t="s">
        <v>26</v>
      </c>
      <c r="Q10" s="10" t="s">
        <v>27</v>
      </c>
      <c r="S10" s="2"/>
      <c r="T10" s="11" t="s">
        <v>39</v>
      </c>
      <c r="U10" s="11" t="s">
        <v>40</v>
      </c>
      <c r="V10" s="11" t="s">
        <v>41</v>
      </c>
      <c r="W10" s="11" t="s">
        <v>26</v>
      </c>
      <c r="X10" s="11" t="s">
        <v>27</v>
      </c>
    </row>
    <row r="11" spans="1:24" x14ac:dyDescent="0.3">
      <c r="A11" s="16"/>
      <c r="B11" s="17"/>
      <c r="C11" s="17"/>
      <c r="E11" s="3" t="s">
        <v>34</v>
      </c>
      <c r="F11" s="4">
        <v>1</v>
      </c>
      <c r="G11" s="4">
        <v>3</v>
      </c>
      <c r="H11" s="4">
        <v>5</v>
      </c>
      <c r="I11" s="4">
        <v>3</v>
      </c>
      <c r="J11" s="4">
        <v>5</v>
      </c>
      <c r="L11" s="10" t="s">
        <v>39</v>
      </c>
      <c r="M11" s="4">
        <v>1</v>
      </c>
      <c r="N11" s="4">
        <v>0.33333333333333331</v>
      </c>
      <c r="O11" s="4">
        <v>0.2</v>
      </c>
      <c r="P11" s="4">
        <v>1</v>
      </c>
      <c r="Q11" s="4">
        <v>0.14285714285714285</v>
      </c>
      <c r="S11" s="11" t="s">
        <v>39</v>
      </c>
      <c r="T11" s="4">
        <v>1</v>
      </c>
      <c r="U11" s="4">
        <v>3</v>
      </c>
      <c r="V11" s="4">
        <v>0.33333333333333331</v>
      </c>
      <c r="W11" s="4">
        <v>3</v>
      </c>
      <c r="X11" s="4">
        <v>5</v>
      </c>
    </row>
    <row r="12" spans="1:24" x14ac:dyDescent="0.3">
      <c r="A12" s="16"/>
      <c r="B12" s="17"/>
      <c r="C12" s="17"/>
      <c r="E12" s="3" t="s">
        <v>24</v>
      </c>
      <c r="F12" s="4">
        <v>0.33333333333333331</v>
      </c>
      <c r="G12" s="4">
        <v>1</v>
      </c>
      <c r="H12" s="4">
        <v>3</v>
      </c>
      <c r="I12" s="4">
        <v>3</v>
      </c>
      <c r="J12" s="4">
        <v>5</v>
      </c>
      <c r="L12" s="10" t="s">
        <v>40</v>
      </c>
      <c r="M12" s="4">
        <v>3</v>
      </c>
      <c r="N12" s="4">
        <v>1</v>
      </c>
      <c r="O12" s="4">
        <v>0.33333333333333331</v>
      </c>
      <c r="P12" s="4">
        <v>3</v>
      </c>
      <c r="Q12" s="4">
        <v>0.2</v>
      </c>
      <c r="S12" s="11" t="s">
        <v>40</v>
      </c>
      <c r="T12" s="4">
        <v>0.33333333333333331</v>
      </c>
      <c r="U12" s="4">
        <v>1</v>
      </c>
      <c r="V12" s="4">
        <v>0.2</v>
      </c>
      <c r="W12" s="4">
        <v>1</v>
      </c>
      <c r="X12" s="4">
        <v>3</v>
      </c>
    </row>
    <row r="13" spans="1:24" x14ac:dyDescent="0.3">
      <c r="A13" s="16"/>
      <c r="B13" s="17"/>
      <c r="C13" s="17"/>
      <c r="E13" s="3" t="s">
        <v>25</v>
      </c>
      <c r="F13" s="4">
        <v>0.2</v>
      </c>
      <c r="G13" s="4">
        <v>0.33333333333333331</v>
      </c>
      <c r="H13" s="4">
        <v>1</v>
      </c>
      <c r="I13" s="4">
        <v>3</v>
      </c>
      <c r="J13" s="4">
        <v>5</v>
      </c>
      <c r="L13" s="10" t="s">
        <v>41</v>
      </c>
      <c r="M13" s="4">
        <v>5</v>
      </c>
      <c r="N13" s="4">
        <v>3</v>
      </c>
      <c r="O13" s="4">
        <v>1</v>
      </c>
      <c r="P13" s="4">
        <v>5</v>
      </c>
      <c r="Q13" s="4">
        <v>0.33333333333333331</v>
      </c>
      <c r="S13" s="11" t="s">
        <v>41</v>
      </c>
      <c r="T13" s="4">
        <v>3</v>
      </c>
      <c r="U13" s="4">
        <v>5</v>
      </c>
      <c r="V13" s="5">
        <v>1</v>
      </c>
      <c r="W13" s="4">
        <v>5</v>
      </c>
      <c r="X13" s="4">
        <v>7</v>
      </c>
    </row>
    <row r="14" spans="1:24" x14ac:dyDescent="0.3">
      <c r="A14" s="16"/>
      <c r="B14" s="17"/>
      <c r="C14" s="17"/>
      <c r="E14" s="3" t="s">
        <v>26</v>
      </c>
      <c r="F14" s="4">
        <v>0.33333333333333331</v>
      </c>
      <c r="G14" s="4">
        <v>0.33333333333333331</v>
      </c>
      <c r="H14" s="4">
        <v>0.33333333333333331</v>
      </c>
      <c r="I14" s="4">
        <v>1</v>
      </c>
      <c r="J14" s="4">
        <v>3</v>
      </c>
      <c r="L14" s="10" t="s">
        <v>26</v>
      </c>
      <c r="M14" s="4">
        <v>1</v>
      </c>
      <c r="N14" s="4">
        <v>0.33333333333333331</v>
      </c>
      <c r="O14" s="4">
        <v>0.2</v>
      </c>
      <c r="P14" s="4">
        <v>1</v>
      </c>
      <c r="Q14" s="4">
        <v>0.14285714285714285</v>
      </c>
      <c r="S14" s="11" t="s">
        <v>26</v>
      </c>
      <c r="T14" s="4">
        <v>0.33333333333333331</v>
      </c>
      <c r="U14" s="4">
        <v>1</v>
      </c>
      <c r="V14" s="4">
        <v>0.2</v>
      </c>
      <c r="W14" s="4">
        <v>1</v>
      </c>
      <c r="X14" s="4">
        <v>3</v>
      </c>
    </row>
    <row r="15" spans="1:24" ht="13.8" customHeight="1" x14ac:dyDescent="0.3">
      <c r="A15" s="16"/>
      <c r="B15" s="17"/>
      <c r="C15" s="17"/>
      <c r="E15" s="3" t="s">
        <v>27</v>
      </c>
      <c r="F15" s="4">
        <v>0.2</v>
      </c>
      <c r="G15" s="4">
        <v>0.2</v>
      </c>
      <c r="H15" s="4">
        <v>0.2</v>
      </c>
      <c r="I15" s="4">
        <v>0.33333333333333331</v>
      </c>
      <c r="J15" s="4">
        <v>1</v>
      </c>
      <c r="L15" s="10" t="s">
        <v>27</v>
      </c>
      <c r="M15" s="4">
        <v>7</v>
      </c>
      <c r="N15" s="4">
        <v>5</v>
      </c>
      <c r="O15" s="4">
        <v>3</v>
      </c>
      <c r="P15" s="4">
        <v>7</v>
      </c>
      <c r="Q15" s="4">
        <v>1</v>
      </c>
      <c r="S15" s="11" t="s">
        <v>27</v>
      </c>
      <c r="T15" s="4">
        <v>0.2</v>
      </c>
      <c r="U15" s="4">
        <v>0.33333333333333331</v>
      </c>
      <c r="V15" s="4">
        <v>0.14285714285714285</v>
      </c>
      <c r="W15" s="4">
        <v>0.33333333333333331</v>
      </c>
      <c r="X15" s="4">
        <v>1</v>
      </c>
    </row>
    <row r="16" spans="1:24" x14ac:dyDescent="0.3">
      <c r="A16" s="16"/>
      <c r="B16" s="17"/>
      <c r="C16" s="17"/>
    </row>
    <row r="17" spans="5:23" x14ac:dyDescent="0.3">
      <c r="E17" s="20" t="s">
        <v>11</v>
      </c>
      <c r="F17" s="20"/>
      <c r="H17" s="20" t="s">
        <v>7</v>
      </c>
      <c r="I17" s="20"/>
      <c r="L17" s="23" t="s">
        <v>11</v>
      </c>
      <c r="M17" s="23"/>
      <c r="O17" s="23" t="s">
        <v>7</v>
      </c>
      <c r="P17" s="23"/>
      <c r="S17" s="22" t="s">
        <v>11</v>
      </c>
      <c r="T17" s="22"/>
      <c r="V17" s="22" t="s">
        <v>7</v>
      </c>
      <c r="W17" s="22"/>
    </row>
    <row r="18" spans="5:23" x14ac:dyDescent="0.3">
      <c r="E18" s="6" t="s">
        <v>35</v>
      </c>
      <c r="F18" s="6">
        <f>GEOMEAN(F11:J11)</f>
        <v>2.9541769390627777</v>
      </c>
      <c r="H18" s="6" t="s">
        <v>38</v>
      </c>
      <c r="I18" s="6">
        <f>F18/F23</f>
        <v>0.44605008859719786</v>
      </c>
      <c r="L18" s="6" t="s">
        <v>35</v>
      </c>
      <c r="M18" s="6">
        <f>GEOMEAN(M11:Q11)</f>
        <v>0.39424131993568018</v>
      </c>
      <c r="O18" s="6" t="s">
        <v>38</v>
      </c>
      <c r="P18" s="6">
        <f>M18/M23</f>
        <v>5.3723490851711297E-2</v>
      </c>
      <c r="S18" s="6" t="s">
        <v>3</v>
      </c>
      <c r="T18" s="6">
        <f>GEOMEAN(T11:X11)</f>
        <v>1.7187719275874789</v>
      </c>
      <c r="V18" s="6" t="s">
        <v>38</v>
      </c>
      <c r="W18" s="6">
        <f>T18/T23</f>
        <v>0.24608326897608804</v>
      </c>
    </row>
    <row r="19" spans="5:23" x14ac:dyDescent="0.3">
      <c r="E19" s="6" t="s">
        <v>36</v>
      </c>
      <c r="F19" s="6">
        <f>GEOMEAN(F12:J12)</f>
        <v>1.7187719275874789</v>
      </c>
      <c r="H19" s="6" t="s">
        <v>14</v>
      </c>
      <c r="I19" s="6">
        <f>F19/F23</f>
        <v>0.25951674066685942</v>
      </c>
      <c r="L19" s="6" t="s">
        <v>36</v>
      </c>
      <c r="M19" s="6">
        <f>GEOMEAN(M12:Q12)</f>
        <v>0.90288045144743434</v>
      </c>
      <c r="O19" s="6" t="s">
        <v>14</v>
      </c>
      <c r="P19" s="6">
        <f>M19/M23</f>
        <v>0.12303603711919102</v>
      </c>
      <c r="S19" s="6" t="s">
        <v>4</v>
      </c>
      <c r="T19" s="6">
        <f>GEOMEAN(T12:X12)</f>
        <v>0.72477966367769553</v>
      </c>
      <c r="V19" s="6" t="s">
        <v>14</v>
      </c>
      <c r="W19" s="6">
        <f>T19/T23</f>
        <v>0.10376952640571874</v>
      </c>
    </row>
    <row r="20" spans="5:23" x14ac:dyDescent="0.3">
      <c r="E20" s="6" t="s">
        <v>37</v>
      </c>
      <c r="F20" s="6">
        <f>GEOMEAN(F13:J13)</f>
        <v>1</v>
      </c>
      <c r="H20" s="6" t="s">
        <v>15</v>
      </c>
      <c r="I20" s="6">
        <f>F20/F23</f>
        <v>0.15098963190021675</v>
      </c>
      <c r="L20" s="6" t="s">
        <v>37</v>
      </c>
      <c r="M20" s="6">
        <f>GEOMEAN(M13:Q13)</f>
        <v>1.9036539387158786</v>
      </c>
      <c r="O20" s="6" t="s">
        <v>15</v>
      </c>
      <c r="P20" s="6">
        <f>M20/M23</f>
        <v>0.25941201439289019</v>
      </c>
      <c r="S20" s="6" t="s">
        <v>5</v>
      </c>
      <c r="T20" s="6">
        <f>GEOMEAN(T13:X13)</f>
        <v>3.4997084062277271</v>
      </c>
      <c r="V20" s="6" t="s">
        <v>15</v>
      </c>
      <c r="W20" s="6">
        <f>T20/T23</f>
        <v>0.50106687876642753</v>
      </c>
    </row>
    <row r="21" spans="5:23" x14ac:dyDescent="0.3">
      <c r="E21" s="6" t="s">
        <v>12</v>
      </c>
      <c r="F21" s="6">
        <f t="shared" ref="F21:F22" si="1">GEOMEAN(F14:J14)</f>
        <v>0.64439401497725424</v>
      </c>
      <c r="H21" s="6" t="s">
        <v>16</v>
      </c>
      <c r="I21" s="6">
        <f>F21/F23</f>
        <v>9.7296815120118368E-2</v>
      </c>
      <c r="L21" s="6" t="s">
        <v>12</v>
      </c>
      <c r="M21" s="6">
        <f t="shared" ref="M21:M22" si="2">GEOMEAN(M14:Q14)</f>
        <v>0.39424131993568018</v>
      </c>
      <c r="O21" s="6" t="s">
        <v>16</v>
      </c>
      <c r="P21" s="6">
        <f>M21/M23</f>
        <v>5.3723490851711297E-2</v>
      </c>
      <c r="S21" s="6" t="s">
        <v>12</v>
      </c>
      <c r="T21" s="6">
        <f>GEOMEAN(T14:X14)</f>
        <v>0.72477966367769553</v>
      </c>
      <c r="V21" s="6" t="s">
        <v>16</v>
      </c>
      <c r="W21" s="6">
        <f>T21/T23</f>
        <v>0.10376952640571874</v>
      </c>
    </row>
    <row r="22" spans="5:23" x14ac:dyDescent="0.3">
      <c r="E22" s="6" t="s">
        <v>13</v>
      </c>
      <c r="F22" s="6">
        <f t="shared" si="1"/>
        <v>0.30562842716315974</v>
      </c>
      <c r="H22" s="6" t="s">
        <v>17</v>
      </c>
      <c r="I22" s="6">
        <f>F22/F23</f>
        <v>4.6146723715607692E-2</v>
      </c>
      <c r="L22" s="6" t="s">
        <v>13</v>
      </c>
      <c r="M22" s="6">
        <f t="shared" si="2"/>
        <v>3.7433244233134215</v>
      </c>
      <c r="O22" s="6" t="s">
        <v>17</v>
      </c>
      <c r="P22" s="6">
        <f>M22/M23</f>
        <v>0.51010496678449624</v>
      </c>
      <c r="S22" s="6" t="s">
        <v>13</v>
      </c>
      <c r="T22" s="6">
        <f>GEOMEAN(T15:X15)</f>
        <v>0.31647389287558264</v>
      </c>
      <c r="V22" s="6" t="s">
        <v>17</v>
      </c>
      <c r="W22" s="6">
        <f>T22/T23</f>
        <v>4.5310799446046886E-2</v>
      </c>
    </row>
    <row r="23" spans="5:23" x14ac:dyDescent="0.3">
      <c r="E23" s="7" t="s">
        <v>6</v>
      </c>
      <c r="F23" s="1">
        <f>SUM(F18:F22)</f>
        <v>6.6229713087906701</v>
      </c>
      <c r="L23" s="12" t="s">
        <v>6</v>
      </c>
      <c r="M23" s="1">
        <f>SUM(M18:M22)</f>
        <v>7.3383414533480948</v>
      </c>
      <c r="S23" s="13" t="s">
        <v>6</v>
      </c>
      <c r="T23" s="1">
        <f>SUM(T18:T22)</f>
        <v>6.9845135540461802</v>
      </c>
    </row>
  </sheetData>
  <mergeCells count="16">
    <mergeCell ref="V17:W17"/>
    <mergeCell ref="F2:G2"/>
    <mergeCell ref="J3:K3"/>
    <mergeCell ref="M3:N3"/>
    <mergeCell ref="E9:J9"/>
    <mergeCell ref="L9:Q9"/>
    <mergeCell ref="S17:T17"/>
    <mergeCell ref="E17:F17"/>
    <mergeCell ref="H17:I17"/>
    <mergeCell ref="L17:M17"/>
    <mergeCell ref="O17:P17"/>
    <mergeCell ref="A4:D4"/>
    <mergeCell ref="A5:D5"/>
    <mergeCell ref="A6:D6"/>
    <mergeCell ref="R1:S1"/>
    <mergeCell ref="S9:X9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" workbookViewId="0">
      <selection activeCell="L23" sqref="L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Деркач</dc:creator>
  <cp:lastModifiedBy>Alex Tinger</cp:lastModifiedBy>
  <dcterms:created xsi:type="dcterms:W3CDTF">2022-01-30T08:16:14Z</dcterms:created>
  <dcterms:modified xsi:type="dcterms:W3CDTF">2025-02-28T11:54:32Z</dcterms:modified>
</cp:coreProperties>
</file>