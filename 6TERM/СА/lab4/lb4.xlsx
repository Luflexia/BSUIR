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rxop\YandexDisk\6TERM\СА\lab4\"/>
    </mc:Choice>
  </mc:AlternateContent>
  <xr:revisionPtr revIDLastSave="0" documentId="13_ncr:1_{94CA7E18-1DC2-4F9B-AD05-2769173ADE3F}" xr6:coauthVersionLast="47" xr6:coauthVersionMax="47" xr10:uidLastSave="{00000000-0000-0000-0000-000000000000}"/>
  <bookViews>
    <workbookView xWindow="-765" yWindow="3675" windowWidth="21600" windowHeight="11835" activeTab="1" xr2:uid="{00000000-000D-0000-FFFF-FFFF00000000}"/>
  </bookViews>
  <sheets>
    <sheet name="Лист1" sheetId="1" r:id="rId1"/>
    <sheet name="Лист2" sheetId="2" r:id="rId2"/>
  </sheets>
  <definedNames>
    <definedName name="_Toc517350768" localSheetId="0">Лист1!$B$94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1" i="2" l="1"/>
  <c r="H204" i="2"/>
  <c r="D213" i="2"/>
  <c r="C213" i="2"/>
  <c r="E212" i="2"/>
  <c r="C212" i="2"/>
  <c r="E211" i="2"/>
  <c r="D211" i="2"/>
  <c r="D207" i="2"/>
  <c r="C207" i="2"/>
  <c r="E206" i="2"/>
  <c r="C206" i="2"/>
  <c r="E205" i="2"/>
  <c r="D205" i="2"/>
  <c r="E204" i="1"/>
  <c r="C186" i="2"/>
  <c r="C185" i="2"/>
  <c r="C183" i="2"/>
  <c r="C182" i="2"/>
  <c r="C181" i="2"/>
  <c r="C179" i="2"/>
  <c r="C178" i="2"/>
  <c r="C177" i="2"/>
  <c r="C176" i="2"/>
  <c r="C174" i="2"/>
  <c r="C170" i="2"/>
  <c r="D164" i="2"/>
  <c r="C171" i="2"/>
  <c r="E167" i="2"/>
  <c r="H210" i="2"/>
  <c r="C117" i="2"/>
  <c r="C116" i="2"/>
  <c r="C115" i="2"/>
  <c r="C83" i="2"/>
  <c r="C43" i="2"/>
  <c r="F43" i="2" s="1"/>
  <c r="C42" i="2"/>
  <c r="F42" i="2" s="1"/>
  <c r="C39" i="2"/>
  <c r="F39" i="2"/>
  <c r="D39" i="2"/>
  <c r="C20" i="2"/>
  <c r="C24" i="2" s="1"/>
  <c r="G20" i="2"/>
  <c r="G24" i="2" s="1"/>
  <c r="F20" i="2"/>
  <c r="F24" i="2" s="1"/>
  <c r="E20" i="2"/>
  <c r="D20" i="2"/>
  <c r="D24" i="2" s="1"/>
  <c r="E24" i="2"/>
  <c r="C78" i="2"/>
  <c r="C79" i="2"/>
  <c r="C80" i="2"/>
  <c r="C84" i="2"/>
  <c r="C85" i="2"/>
  <c r="D210" i="1"/>
  <c r="D206" i="1"/>
  <c r="C206" i="1"/>
  <c r="E205" i="1"/>
  <c r="C205" i="1"/>
  <c r="D204" i="1"/>
  <c r="E200" i="1"/>
  <c r="D200" i="1"/>
  <c r="C200" i="1"/>
  <c r="E199" i="1"/>
  <c r="D199" i="1"/>
  <c r="C199" i="1"/>
  <c r="C185" i="1"/>
  <c r="C184" i="1"/>
  <c r="C182" i="1"/>
  <c r="C181" i="1"/>
  <c r="C180" i="1"/>
  <c r="C178" i="1"/>
  <c r="C177" i="1"/>
  <c r="C176" i="1"/>
  <c r="C175" i="1"/>
  <c r="C173" i="1"/>
  <c r="C172" i="1"/>
  <c r="C171" i="1"/>
  <c r="C170" i="1"/>
  <c r="C169" i="1"/>
  <c r="C163" i="1"/>
  <c r="C164" i="1"/>
  <c r="C165" i="1"/>
  <c r="C166" i="1"/>
  <c r="C167" i="1"/>
  <c r="C162" i="1"/>
  <c r="G160" i="1"/>
  <c r="F160" i="1"/>
  <c r="E160" i="1"/>
  <c r="D160" i="1"/>
  <c r="C160" i="1"/>
  <c r="H159" i="1"/>
  <c r="F159" i="1"/>
  <c r="E159" i="1"/>
  <c r="D159" i="1"/>
  <c r="C159" i="1"/>
  <c r="H158" i="1"/>
  <c r="G158" i="1"/>
  <c r="E158" i="1"/>
  <c r="D158" i="1"/>
  <c r="C158" i="1"/>
  <c r="H157" i="1"/>
  <c r="G157" i="1"/>
  <c r="F157" i="1"/>
  <c r="D157" i="1"/>
  <c r="C157" i="1"/>
  <c r="H156" i="1"/>
  <c r="G156" i="1"/>
  <c r="F156" i="1"/>
  <c r="E156" i="1"/>
  <c r="C156" i="1"/>
  <c r="H155" i="1"/>
  <c r="G155" i="1"/>
  <c r="F155" i="1"/>
  <c r="E155" i="1"/>
  <c r="D155" i="1"/>
  <c r="C114" i="1"/>
  <c r="C113" i="1"/>
  <c r="C112" i="1"/>
  <c r="C110" i="1"/>
  <c r="C109" i="1"/>
  <c r="C108" i="1"/>
  <c r="C107" i="1"/>
  <c r="D105" i="1"/>
  <c r="E105" i="1"/>
  <c r="C105" i="1"/>
  <c r="D104" i="1"/>
  <c r="E104" i="1"/>
  <c r="C104" i="1"/>
  <c r="C91" i="1"/>
  <c r="C88" i="1"/>
  <c r="C87" i="1"/>
  <c r="C84" i="1"/>
  <c r="C82" i="1"/>
  <c r="C79" i="1"/>
  <c r="C77" i="1"/>
  <c r="C74" i="1"/>
  <c r="C72" i="1"/>
  <c r="C55" i="1"/>
  <c r="C54" i="1"/>
  <c r="C53" i="1"/>
  <c r="E50" i="1"/>
  <c r="E51" i="1"/>
  <c r="D50" i="1"/>
  <c r="D51" i="1"/>
  <c r="C50" i="1"/>
  <c r="C51" i="1"/>
  <c r="E49" i="1"/>
  <c r="D49" i="1"/>
  <c r="C49" i="1"/>
  <c r="F44" i="1"/>
  <c r="F43" i="1"/>
  <c r="F42" i="1"/>
  <c r="C42" i="1"/>
  <c r="F40" i="1"/>
  <c r="F39" i="1"/>
  <c r="F38" i="1"/>
  <c r="C40" i="1"/>
  <c r="C39" i="1"/>
  <c r="C38" i="1"/>
  <c r="E35" i="1"/>
  <c r="D35" i="1"/>
  <c r="C35" i="1"/>
  <c r="E34" i="1"/>
  <c r="D34" i="1"/>
  <c r="C34" i="1"/>
  <c r="H14" i="1"/>
  <c r="G14" i="1"/>
  <c r="F14" i="1"/>
  <c r="E14" i="1"/>
  <c r="D14" i="1"/>
  <c r="C14" i="1"/>
  <c r="H13" i="1"/>
  <c r="H19" i="1" s="1"/>
  <c r="G13" i="1"/>
  <c r="G19" i="1" s="1"/>
  <c r="F13" i="1"/>
  <c r="E13" i="1"/>
  <c r="D13" i="1"/>
  <c r="D19" i="1" s="1"/>
  <c r="C13" i="1"/>
  <c r="C118" i="2" l="1"/>
  <c r="C88" i="2"/>
  <c r="C93" i="2" s="1"/>
  <c r="C44" i="2"/>
  <c r="F44" i="2" s="1"/>
  <c r="C47" i="2" s="1"/>
  <c r="F47" i="2" s="1"/>
  <c r="C89" i="2"/>
  <c r="H212" i="2"/>
  <c r="C90" i="2"/>
  <c r="E19" i="1"/>
  <c r="F19" i="1"/>
  <c r="C19" i="1"/>
  <c r="C94" i="2" l="1"/>
  <c r="C97" i="2" s="1"/>
  <c r="C122" i="2"/>
  <c r="D53" i="2"/>
  <c r="E53" i="2"/>
  <c r="C53" i="2"/>
  <c r="F53" i="2"/>
  <c r="F48" i="2"/>
  <c r="F49" i="2"/>
  <c r="C121" i="2" l="1"/>
  <c r="C120" i="2"/>
  <c r="E54" i="2"/>
  <c r="D54" i="2"/>
  <c r="F54" i="2"/>
  <c r="C54" i="2"/>
  <c r="D55" i="2"/>
  <c r="E55" i="2"/>
  <c r="F55" i="2"/>
  <c r="C55" i="2"/>
  <c r="C166" i="2" l="1"/>
  <c r="C58" i="2"/>
  <c r="C59" i="2"/>
  <c r="C60" i="2"/>
  <c r="C61" i="2"/>
  <c r="E165" i="2"/>
  <c r="G167" i="2"/>
  <c r="E164" i="2"/>
  <c r="F166" i="2"/>
  <c r="G164" i="2"/>
  <c r="G166" i="2"/>
  <c r="D167" i="2"/>
  <c r="D166" i="2"/>
  <c r="D168" i="2"/>
  <c r="H206" i="2"/>
  <c r="E168" i="2"/>
  <c r="F168" i="2"/>
  <c r="G165" i="2"/>
  <c r="C165" i="2"/>
  <c r="C167" i="2"/>
  <c r="F165" i="2"/>
  <c r="C168" i="2"/>
  <c r="F164" i="2"/>
  <c r="H205" i="2" l="1"/>
  <c r="C172" i="2"/>
  <c r="C173" i="2"/>
</calcChain>
</file>

<file path=xl/sharedStrings.xml><?xml version="1.0" encoding="utf-8"?>
<sst xmlns="http://schemas.openxmlformats.org/spreadsheetml/2006/main" count="636" uniqueCount="167">
  <si>
    <t>Поставщик</t>
  </si>
  <si>
    <t>П1</t>
  </si>
  <si>
    <t>П2</t>
  </si>
  <si>
    <t>П3</t>
  </si>
  <si>
    <t>П4</t>
  </si>
  <si>
    <t>П5</t>
  </si>
  <si>
    <t>П6</t>
  </si>
  <si>
    <t>Содержание металла в pуде, %</t>
  </si>
  <si>
    <t>Стоимость руды, ден.ед./т</t>
  </si>
  <si>
    <t>Надежность поставок</t>
  </si>
  <si>
    <t>возможны нарушения</t>
  </si>
  <si>
    <t>высокая</t>
  </si>
  <si>
    <t>очень высокая</t>
  </si>
  <si>
    <t>достаточно высокая</t>
  </si>
  <si>
    <t>Методика экспресс анализа альтернатив</t>
  </si>
  <si>
    <t>Мин</t>
  </si>
  <si>
    <t>Макс</t>
  </si>
  <si>
    <t>Альтернатива</t>
  </si>
  <si>
    <r>
      <t>P</t>
    </r>
    <r>
      <rPr>
        <i/>
        <vertAlign val="subscript"/>
        <sz val="18"/>
        <color rgb="FF000000"/>
        <rFont val="Times New Roman"/>
        <family val="1"/>
        <charset val="204"/>
      </rPr>
      <t>j</t>
    </r>
  </si>
  <si>
    <t>Находим минимальные оценки у каждой альтернативы</t>
  </si>
  <si>
    <t>Po</t>
  </si>
  <si>
    <t>Методика скаляризации векторных оценок</t>
  </si>
  <si>
    <t>Безмерные</t>
  </si>
  <si>
    <t>P1</t>
  </si>
  <si>
    <t>P2</t>
  </si>
  <si>
    <t>P3</t>
  </si>
  <si>
    <t>R1</t>
  </si>
  <si>
    <t>R2</t>
  </si>
  <si>
    <t>R3</t>
  </si>
  <si>
    <t>R</t>
  </si>
  <si>
    <t>W1</t>
  </si>
  <si>
    <t>W2</t>
  </si>
  <si>
    <t>W3</t>
  </si>
  <si>
    <t>Взвешенные безмерные</t>
  </si>
  <si>
    <t>E1</t>
  </si>
  <si>
    <t>E2</t>
  </si>
  <si>
    <t>E3</t>
  </si>
  <si>
    <t>Методика сравнительной оценки двух альтернатив по степени доминирования</t>
  </si>
  <si>
    <t>V1</t>
  </si>
  <si>
    <t>V2</t>
  </si>
  <si>
    <t>V3</t>
  </si>
  <si>
    <t>Веса критериев</t>
  </si>
  <si>
    <t>S1</t>
  </si>
  <si>
    <t>S3</t>
  </si>
  <si>
    <t>Отношение оценок альтернатив</t>
  </si>
  <si>
    <t>С1</t>
  </si>
  <si>
    <t>С3</t>
  </si>
  <si>
    <t>Важность критериев</t>
  </si>
  <si>
    <t>D2</t>
  </si>
  <si>
    <t>D4</t>
  </si>
  <si>
    <t>Оценка доминирования П2 над П4</t>
  </si>
  <si>
    <t>Оценка доминирования П4 над П2</t>
  </si>
  <si>
    <t>D</t>
  </si>
  <si>
    <t>Обобщенная оценка доминирования</t>
  </si>
  <si>
    <t>Метод предпочтений</t>
  </si>
  <si>
    <t>Эксперты</t>
  </si>
  <si>
    <t>Альтернативы</t>
  </si>
  <si>
    <t>А1</t>
  </si>
  <si>
    <t>А2</t>
  </si>
  <si>
    <t>А3</t>
  </si>
  <si>
    <t>С2</t>
  </si>
  <si>
    <t>Суммы преобразованных оценок</t>
  </si>
  <si>
    <t>С</t>
  </si>
  <si>
    <t>Модифицированный алгоритм Кемени-Снелла</t>
  </si>
  <si>
    <t>К1</t>
  </si>
  <si>
    <t>К2</t>
  </si>
  <si>
    <t>К3</t>
  </si>
  <si>
    <t>Матрица потерь 1</t>
  </si>
  <si>
    <t>P4</t>
  </si>
  <si>
    <t>P5</t>
  </si>
  <si>
    <t>P6</t>
  </si>
  <si>
    <t>искл 1</t>
  </si>
  <si>
    <t>Первое сокращение</t>
  </si>
  <si>
    <t>Второе сокращение</t>
  </si>
  <si>
    <t>искл 2</t>
  </si>
  <si>
    <t>Третье сокращение</t>
  </si>
  <si>
    <t>искл 3</t>
  </si>
  <si>
    <t>Четвертое сокращение</t>
  </si>
  <si>
    <t>Пятое сокращение</t>
  </si>
  <si>
    <t>искл 4</t>
  </si>
  <si>
    <t>искл 5</t>
  </si>
  <si>
    <t>Метод электра</t>
  </si>
  <si>
    <t>П3 П1 П6 П2 П4 П5</t>
  </si>
  <si>
    <t>Безразмерный вид</t>
  </si>
  <si>
    <t>Индексы согласия</t>
  </si>
  <si>
    <t>Индексы несогласия</t>
  </si>
  <si>
    <t>С1 = 0,17</t>
  </si>
  <si>
    <t>С2 = 0,67</t>
  </si>
  <si>
    <t>С3 = 0,17</t>
  </si>
  <si>
    <t>D1 = 0,79</t>
  </si>
  <si>
    <t>D2 = 0,36</t>
  </si>
  <si>
    <t>D3 = 0,33</t>
  </si>
  <si>
    <t>D* = 0,5</t>
  </si>
  <si>
    <t>C* = 0,4</t>
  </si>
  <si>
    <t>Выбор - П3</t>
  </si>
  <si>
    <t>Ни одна не исключается</t>
  </si>
  <si>
    <t>Множество Парето</t>
  </si>
  <si>
    <t>По шкале Харрингтона</t>
  </si>
  <si>
    <t>Переход к безразмерным оценкам альтернатив</t>
  </si>
  <si>
    <t>Пор знач мин оценки</t>
  </si>
  <si>
    <t>Веса оценок</t>
  </si>
  <si>
    <t>Величины разброса</t>
  </si>
  <si>
    <t>Сумма величин разброса</t>
  </si>
  <si>
    <t>Веса, отражающие разброс</t>
  </si>
  <si>
    <t>Чем меньше - тем лучше</t>
  </si>
  <si>
    <t>Методика сравнительной оценки двух альтернатив</t>
  </si>
  <si>
    <t>Ранги</t>
  </si>
  <si>
    <t>S2</t>
  </si>
  <si>
    <t>C2</t>
  </si>
  <si>
    <t>Экспертные оценки</t>
  </si>
  <si>
    <t>Веса альтернатив</t>
  </si>
  <si>
    <t>-</t>
  </si>
  <si>
    <t>Матрца ранжирования</t>
  </si>
  <si>
    <t>Парные сравнения по К1</t>
  </si>
  <si>
    <t>Парные сравнения по К2</t>
  </si>
  <si>
    <t>Парные сравнения по К3</t>
  </si>
  <si>
    <t>Матрица потерь</t>
  </si>
  <si>
    <t>Матрица индексов согласия</t>
  </si>
  <si>
    <t>Матрица индексов несогласия</t>
  </si>
  <si>
    <t>C1</t>
  </si>
  <si>
    <t>Предельное значение ИС</t>
  </si>
  <si>
    <t>Предельное значение ИН</t>
  </si>
  <si>
    <t>D1</t>
  </si>
  <si>
    <t>М1</t>
  </si>
  <si>
    <t>М2</t>
  </si>
  <si>
    <t>М3</t>
  </si>
  <si>
    <t>М4</t>
  </si>
  <si>
    <t>М5</t>
  </si>
  <si>
    <t>М6</t>
  </si>
  <si>
    <t>Близость к ис­точникам сырья</t>
  </si>
  <si>
    <t>совсем близко</t>
  </si>
  <si>
    <t>близко</t>
  </si>
  <si>
    <t>далеко</t>
  </si>
  <si>
    <t>близко (немного дальше, чем для М2)</t>
  </si>
  <si>
    <t>среднее расстояние</t>
  </si>
  <si>
    <t>Близость к по­требителям</t>
  </si>
  <si>
    <t>очень далеко</t>
  </si>
  <si>
    <t>Затраты на подготовку к строительству, млн ден.ед.</t>
  </si>
  <si>
    <t>Исключаем 5</t>
  </si>
  <si>
    <t>Место</t>
  </si>
  <si>
    <t>Минимальные оценки альтернатив</t>
  </si>
  <si>
    <t>0,2 &gt; 0,1</t>
  </si>
  <si>
    <t>Безразмерные оценки альтернатив</t>
  </si>
  <si>
    <t>Взвешенные безразмерные оценки (меньше - лучше)</t>
  </si>
  <si>
    <t xml:space="preserve">Комплексные оценки </t>
  </si>
  <si>
    <t>E6</t>
  </si>
  <si>
    <t>Числовые оценки</t>
  </si>
  <si>
    <t>Веса критериев (!ранг)</t>
  </si>
  <si>
    <t xml:space="preserve">Отношение оценок альтернатив </t>
  </si>
  <si>
    <t>Важность критериев (S^V)</t>
  </si>
  <si>
    <t>М2 над М6</t>
  </si>
  <si>
    <t>М6 над М2</t>
  </si>
  <si>
    <t>D = D1 / D2, D &lt; 1 -&gt; М6 &gt; М2</t>
  </si>
  <si>
    <t>—</t>
  </si>
  <si>
    <t>Сумма строк матрицы потерь</t>
  </si>
  <si>
    <t>М4, М1, М6, М3, М2</t>
  </si>
  <si>
    <t>Метод ЭЛЕКТРА</t>
  </si>
  <si>
    <t>Затраты на подготовку к строительству</t>
  </si>
  <si>
    <t>M1</t>
  </si>
  <si>
    <t>M4</t>
  </si>
  <si>
    <t>M6</t>
  </si>
  <si>
    <t>C* = 0,5</t>
  </si>
  <si>
    <t>D* = 0,8</t>
  </si>
  <si>
    <t>Выбор - М1</t>
  </si>
  <si>
    <t>C4</t>
  </si>
  <si>
    <t>C6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</si>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</sst>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i/>
      <vertAlign val="subscript"/>
      <sz val="18"/>
      <color rgb="FF000000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/>
      <right style="thin">
        <color auto="1"/>
      </right>
      <top style="thick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medium">
        <color auto="1"/>
      </bottom>
      <diagonal/>
    </border>
    <border>
      <left style="thick">
        <color indexed="64"/>
      </left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medium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2" fontId="2" fillId="2" borderId="5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2" fontId="1" fillId="0" borderId="15" xfId="0" applyNumberFormat="1" applyFont="1" applyFill="1" applyBorder="1" applyAlignment="1">
      <alignment horizontal="center" vertical="center" wrapText="1"/>
    </xf>
    <xf numFmtId="2" fontId="1" fillId="0" borderId="17" xfId="0" applyNumberFormat="1" applyFont="1" applyFill="1" applyBorder="1" applyAlignment="1">
      <alignment horizontal="center" vertical="center" wrapText="1"/>
    </xf>
    <xf numFmtId="2" fontId="0" fillId="0" borderId="18" xfId="0" applyNumberFormat="1" applyBorder="1"/>
    <xf numFmtId="2" fontId="1" fillId="0" borderId="19" xfId="0" applyNumberFormat="1" applyFont="1" applyFill="1" applyBorder="1" applyAlignment="1">
      <alignment horizontal="center" vertical="center" wrapText="1"/>
    </xf>
    <xf numFmtId="2" fontId="0" fillId="0" borderId="20" xfId="0" applyNumberFormat="1" applyBorder="1"/>
    <xf numFmtId="2" fontId="0" fillId="0" borderId="16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4" xfId="0" applyNumberFormat="1" applyBorder="1"/>
    <xf numFmtId="0" fontId="0" fillId="0" borderId="13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0" fillId="0" borderId="13" xfId="0" applyNumberForma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2" fontId="0" fillId="4" borderId="16" xfId="0" applyNumberFormat="1" applyFill="1" applyBorder="1"/>
    <xf numFmtId="0" fontId="1" fillId="0" borderId="1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1" fillId="0" borderId="45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0" fontId="1" fillId="4" borderId="17" xfId="0" applyFont="1" applyFill="1" applyBorder="1" applyAlignment="1">
      <alignment horizontal="center" vertical="center" wrapText="1"/>
    </xf>
    <xf numFmtId="2" fontId="0" fillId="4" borderId="18" xfId="0" applyNumberFormat="1" applyFill="1" applyBorder="1" applyAlignment="1">
      <alignment horizontal="center"/>
    </xf>
    <xf numFmtId="0" fontId="1" fillId="5" borderId="17" xfId="0" applyFont="1" applyFill="1" applyBorder="1" applyAlignment="1">
      <alignment horizontal="center" vertical="center" wrapText="1"/>
    </xf>
    <xf numFmtId="2" fontId="0" fillId="5" borderId="18" xfId="0" applyNumberForma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 wrapText="1"/>
    </xf>
    <xf numFmtId="2" fontId="0" fillId="5" borderId="20" xfId="0" applyNumberForma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 wrapText="1"/>
    </xf>
    <xf numFmtId="2" fontId="0" fillId="4" borderId="16" xfId="0" applyNumberForma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 wrapText="1"/>
    </xf>
    <xf numFmtId="2" fontId="0" fillId="5" borderId="16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 wrapText="1"/>
    </xf>
    <xf numFmtId="2" fontId="0" fillId="4" borderId="20" xfId="0" applyNumberFormat="1" applyFill="1" applyBorder="1" applyAlignment="1">
      <alignment horizontal="center"/>
    </xf>
    <xf numFmtId="0" fontId="0" fillId="5" borderId="0" xfId="0" applyFill="1"/>
    <xf numFmtId="0" fontId="1" fillId="5" borderId="0" xfId="0" applyFont="1" applyFill="1" applyBorder="1" applyAlignment="1">
      <alignment horizontal="center" vertical="center" wrapText="1"/>
    </xf>
    <xf numFmtId="2" fontId="0" fillId="5" borderId="0" xfId="0" applyNumberFormat="1" applyFill="1" applyBorder="1" applyAlignment="1">
      <alignment horizontal="center"/>
    </xf>
    <xf numFmtId="0" fontId="1" fillId="6" borderId="19" xfId="0" applyFont="1" applyFill="1" applyBorder="1" applyAlignment="1">
      <alignment horizontal="center" vertical="center" wrapText="1"/>
    </xf>
    <xf numFmtId="2" fontId="0" fillId="6" borderId="20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4" borderId="0" xfId="0" applyFill="1"/>
    <xf numFmtId="0" fontId="1" fillId="0" borderId="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2" fontId="0" fillId="7" borderId="20" xfId="0" applyNumberFormat="1" applyFill="1" applyBorder="1" applyAlignment="1">
      <alignment horizontal="center"/>
    </xf>
    <xf numFmtId="2" fontId="0" fillId="2" borderId="18" xfId="0" applyNumberFormat="1" applyFill="1" applyBorder="1" applyAlignment="1">
      <alignment horizontal="center"/>
    </xf>
    <xf numFmtId="0" fontId="1" fillId="0" borderId="10" xfId="0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2" fontId="0" fillId="7" borderId="19" xfId="0" applyNumberFormat="1" applyFill="1" applyBorder="1" applyAlignment="1">
      <alignment horizontal="center" vertical="center"/>
    </xf>
    <xf numFmtId="2" fontId="0" fillId="7" borderId="20" xfId="0" applyNumberFormat="1" applyFill="1" applyBorder="1"/>
    <xf numFmtId="0" fontId="9" fillId="0" borderId="0" xfId="0" applyFont="1" applyAlignment="1"/>
    <xf numFmtId="0" fontId="0" fillId="0" borderId="0" xfId="0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0" fontId="1" fillId="7" borderId="19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2" fontId="0" fillId="7" borderId="18" xfId="0" applyNumberFormat="1" applyFill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2" fontId="0" fillId="0" borderId="21" xfId="0" applyNumberFormat="1" applyFill="1" applyBorder="1" applyAlignment="1">
      <alignment horizontal="center" vertical="center"/>
    </xf>
    <xf numFmtId="0" fontId="10" fillId="0" borderId="57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58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8" borderId="0" xfId="0" applyFill="1"/>
    <xf numFmtId="0" fontId="2" fillId="0" borderId="5" xfId="0" applyNumberFormat="1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/>
    </xf>
    <xf numFmtId="2" fontId="1" fillId="0" borderId="0" xfId="0" applyNumberFormat="1" applyFont="1" applyBorder="1" applyAlignment="1">
      <alignment horizontal="center" vertical="center" wrapText="1"/>
    </xf>
    <xf numFmtId="2" fontId="0" fillId="6" borderId="16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0" fontId="0" fillId="9" borderId="0" xfId="0" applyFill="1"/>
    <xf numFmtId="0" fontId="0" fillId="0" borderId="59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" fontId="0" fillId="10" borderId="39" xfId="0" applyNumberFormat="1" applyFill="1" applyBorder="1" applyAlignment="1">
      <alignment horizontal="center"/>
    </xf>
    <xf numFmtId="0" fontId="9" fillId="0" borderId="0" xfId="0" applyFont="1"/>
    <xf numFmtId="0" fontId="0" fillId="0" borderId="15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60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" fillId="0" borderId="5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 wrapText="1"/>
    </xf>
    <xf numFmtId="0" fontId="1" fillId="0" borderId="62" xfId="0" applyFont="1" applyFill="1" applyBorder="1" applyAlignment="1">
      <alignment horizontal="center" vertical="center" wrapText="1"/>
    </xf>
    <xf numFmtId="0" fontId="1" fillId="0" borderId="63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/>
    </xf>
    <xf numFmtId="2" fontId="0" fillId="10" borderId="22" xfId="0" applyNumberFormat="1" applyFill="1" applyBorder="1" applyAlignment="1">
      <alignment horizontal="center" vertical="center"/>
    </xf>
    <xf numFmtId="2" fontId="0" fillId="10" borderId="17" xfId="0" applyNumberFormat="1" applyFill="1" applyBorder="1" applyAlignment="1">
      <alignment horizontal="center" vertical="center"/>
    </xf>
    <xf numFmtId="2" fontId="0" fillId="10" borderId="19" xfId="0" applyNumberForma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2" fontId="0" fillId="11" borderId="21" xfId="0" applyNumberForma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2" fontId="0" fillId="12" borderId="2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5"/>
  <sheetViews>
    <sheetView topLeftCell="A190" zoomScale="85" zoomScaleNormal="85" workbookViewId="0">
      <selection activeCell="C206" sqref="C206"/>
    </sheetView>
  </sheetViews>
  <sheetFormatPr defaultRowHeight="15" x14ac:dyDescent="0.25"/>
  <cols>
    <col min="2" max="2" width="16.42578125" customWidth="1"/>
    <col min="3" max="4" width="10.7109375" customWidth="1"/>
    <col min="5" max="5" width="10.42578125" customWidth="1"/>
    <col min="6" max="6" width="10.5703125" customWidth="1"/>
    <col min="9" max="9" width="17.5703125" customWidth="1"/>
    <col min="10" max="10" width="23.7109375" customWidth="1"/>
  </cols>
  <sheetData>
    <row r="1" spans="2:9" ht="15.75" thickBot="1" x14ac:dyDescent="0.3"/>
    <row r="2" spans="2:9" ht="16.5" thickTop="1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</row>
    <row r="3" spans="2:9" ht="29.45" customHeight="1" thickBot="1" x14ac:dyDescent="0.3">
      <c r="B3" s="4" t="s">
        <v>7</v>
      </c>
      <c r="C3" s="5">
        <v>12</v>
      </c>
      <c r="D3" s="5">
        <v>9</v>
      </c>
      <c r="E3" s="5">
        <v>15</v>
      </c>
      <c r="F3" s="5">
        <v>8</v>
      </c>
      <c r="G3" s="5">
        <v>7</v>
      </c>
      <c r="H3" s="6">
        <v>10</v>
      </c>
    </row>
    <row r="4" spans="2:9" ht="31.9" customHeight="1" thickBot="1" x14ac:dyDescent="0.3">
      <c r="B4" s="4" t="s">
        <v>8</v>
      </c>
      <c r="C4" s="5">
        <v>200</v>
      </c>
      <c r="D4" s="5">
        <v>120</v>
      </c>
      <c r="E4" s="5">
        <v>220</v>
      </c>
      <c r="F4" s="5">
        <v>120</v>
      </c>
      <c r="G4" s="5">
        <v>100</v>
      </c>
      <c r="H4" s="6">
        <v>140</v>
      </c>
    </row>
    <row r="5" spans="2:9" ht="34.15" customHeight="1" thickBot="1" x14ac:dyDescent="0.3">
      <c r="B5" s="7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11</v>
      </c>
      <c r="H5" s="9" t="s">
        <v>11</v>
      </c>
    </row>
    <row r="6" spans="2:9" ht="15.75" thickTop="1" x14ac:dyDescent="0.25"/>
    <row r="8" spans="2:9" x14ac:dyDescent="0.25">
      <c r="B8" s="197" t="s">
        <v>14</v>
      </c>
      <c r="C8" s="197"/>
      <c r="D8" s="197"/>
      <c r="E8" s="197"/>
      <c r="F8" s="197"/>
    </row>
    <row r="11" spans="2:9" ht="15.75" thickBot="1" x14ac:dyDescent="0.3">
      <c r="C11" s="197"/>
      <c r="D11" s="197"/>
      <c r="E11" s="197"/>
      <c r="F11" s="197"/>
    </row>
    <row r="12" spans="2:9" ht="16.5" thickBot="1" x14ac:dyDescent="0.3">
      <c r="B12" s="12" t="s">
        <v>0</v>
      </c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6</v>
      </c>
    </row>
    <row r="13" spans="2:9" ht="45.75" thickBot="1" x14ac:dyDescent="0.3">
      <c r="B13" s="14" t="s">
        <v>7</v>
      </c>
      <c r="C13" s="16">
        <f>MIN(C3:H3)/C3</f>
        <v>0.58333333333333337</v>
      </c>
      <c r="D13" s="16">
        <f>MIN(C3:H3)/D3</f>
        <v>0.77777777777777779</v>
      </c>
      <c r="E13" s="16">
        <f>MIN(C3:H3)/E3</f>
        <v>0.46666666666666667</v>
      </c>
      <c r="F13" s="16">
        <f>MIN(C3:H3)/F3</f>
        <v>0.875</v>
      </c>
      <c r="G13" s="16">
        <f>MIN(C3:H3)/G3</f>
        <v>1</v>
      </c>
      <c r="H13" s="16">
        <f>MIN(C3:H3)/H3</f>
        <v>0.7</v>
      </c>
      <c r="I13" s="17" t="s">
        <v>15</v>
      </c>
    </row>
    <row r="14" spans="2:9" ht="30.75" thickBot="1" x14ac:dyDescent="0.3">
      <c r="B14" s="14" t="s">
        <v>8</v>
      </c>
      <c r="C14" s="16">
        <f>C4/MAX(C4:H4)</f>
        <v>0.90909090909090906</v>
      </c>
      <c r="D14" s="16">
        <f>D4/MAX(C4:H4)</f>
        <v>0.54545454545454541</v>
      </c>
      <c r="E14" s="16">
        <f>E4/MAX(C4:H4)</f>
        <v>1</v>
      </c>
      <c r="F14" s="16">
        <f>F4/MAX(C4:H4)</f>
        <v>0.54545454545454541</v>
      </c>
      <c r="G14" s="16">
        <f>G4/MAX(C4:H4)</f>
        <v>0.45454545454545453</v>
      </c>
      <c r="H14" s="16">
        <f>H4/MAX(C4:H4)</f>
        <v>0.63636363636363635</v>
      </c>
      <c r="I14" s="17" t="s">
        <v>16</v>
      </c>
    </row>
    <row r="15" spans="2:9" ht="30.75" thickBot="1" x14ac:dyDescent="0.3">
      <c r="B15" s="14" t="s">
        <v>9</v>
      </c>
      <c r="C15" s="15">
        <v>0.11</v>
      </c>
      <c r="D15" s="15">
        <v>0.63</v>
      </c>
      <c r="E15" s="15">
        <v>0.9</v>
      </c>
      <c r="F15" s="15">
        <v>0.79</v>
      </c>
      <c r="G15" s="15">
        <v>0.63</v>
      </c>
      <c r="H15" s="15">
        <v>0.63</v>
      </c>
    </row>
    <row r="17" spans="2:9" ht="15.75" thickBot="1" x14ac:dyDescent="0.3"/>
    <row r="18" spans="2:9" ht="38.25" thickBot="1" x14ac:dyDescent="0.3">
      <c r="B18" s="18" t="s">
        <v>17</v>
      </c>
      <c r="C18" s="19" t="s">
        <v>1</v>
      </c>
      <c r="D18" s="19" t="s">
        <v>2</v>
      </c>
      <c r="E18" s="19" t="s">
        <v>3</v>
      </c>
      <c r="F18" s="19" t="s">
        <v>4</v>
      </c>
      <c r="G18" s="19" t="s">
        <v>5</v>
      </c>
      <c r="H18" s="19" t="s">
        <v>6</v>
      </c>
    </row>
    <row r="19" spans="2:9" ht="49.9" customHeight="1" thickBot="1" x14ac:dyDescent="0.3">
      <c r="B19" s="20" t="s">
        <v>18</v>
      </c>
      <c r="C19" s="16">
        <f>MIN(C13:C15)</f>
        <v>0.11</v>
      </c>
      <c r="D19" s="23">
        <f t="shared" ref="D19:H19" si="0">MIN(D13:D15)</f>
        <v>0.54545454545454541</v>
      </c>
      <c r="E19" s="16">
        <f t="shared" si="0"/>
        <v>0.46666666666666667</v>
      </c>
      <c r="F19" s="23">
        <f t="shared" si="0"/>
        <v>0.54545454545454541</v>
      </c>
      <c r="G19" s="16">
        <f t="shared" si="0"/>
        <v>0.45454545454545453</v>
      </c>
      <c r="H19" s="23">
        <f t="shared" si="0"/>
        <v>0.63</v>
      </c>
      <c r="I19" s="198" t="s">
        <v>19</v>
      </c>
    </row>
    <row r="20" spans="2:9" ht="15.75" thickBot="1" x14ac:dyDescent="0.3">
      <c r="I20" s="198"/>
    </row>
    <row r="21" spans="2:9" ht="15.75" thickBot="1" x14ac:dyDescent="0.3">
      <c r="C21" s="21" t="s">
        <v>20</v>
      </c>
      <c r="D21" s="22">
        <v>0.5</v>
      </c>
      <c r="I21" s="198"/>
    </row>
    <row r="23" spans="2:9" x14ac:dyDescent="0.25">
      <c r="B23" s="197" t="s">
        <v>21</v>
      </c>
      <c r="C23" s="197"/>
      <c r="D23" s="197"/>
      <c r="E23" s="197"/>
      <c r="F23" s="197"/>
    </row>
    <row r="24" spans="2:9" ht="15.75" thickBot="1" x14ac:dyDescent="0.3"/>
    <row r="25" spans="2:9" ht="15.75" thickBot="1" x14ac:dyDescent="0.3">
      <c r="B25" s="24" t="s">
        <v>0</v>
      </c>
      <c r="C25" s="24" t="s">
        <v>2</v>
      </c>
      <c r="D25" s="24" t="s">
        <v>4</v>
      </c>
      <c r="E25" s="24" t="s">
        <v>6</v>
      </c>
    </row>
    <row r="26" spans="2:9" ht="45.75" thickBot="1" x14ac:dyDescent="0.3">
      <c r="B26" s="12" t="s">
        <v>7</v>
      </c>
      <c r="C26" s="12">
        <v>9</v>
      </c>
      <c r="D26" s="12">
        <v>8</v>
      </c>
      <c r="E26" s="12">
        <v>10</v>
      </c>
    </row>
    <row r="27" spans="2:9" ht="30.75" thickBot="1" x14ac:dyDescent="0.3">
      <c r="B27" s="12" t="s">
        <v>8</v>
      </c>
      <c r="C27" s="12">
        <v>120</v>
      </c>
      <c r="D27" s="12">
        <v>120</v>
      </c>
      <c r="E27" s="12">
        <v>140</v>
      </c>
    </row>
    <row r="28" spans="2:9" ht="30.75" thickBot="1" x14ac:dyDescent="0.3">
      <c r="B28" s="12" t="s">
        <v>9</v>
      </c>
      <c r="C28" s="12" t="s">
        <v>11</v>
      </c>
      <c r="D28" s="12" t="s">
        <v>13</v>
      </c>
      <c r="E28" s="12" t="s">
        <v>11</v>
      </c>
    </row>
    <row r="31" spans="2:9" x14ac:dyDescent="0.25">
      <c r="B31" s="25" t="s">
        <v>22</v>
      </c>
    </row>
    <row r="32" spans="2:9" ht="15.75" thickBot="1" x14ac:dyDescent="0.3"/>
    <row r="33" spans="2:6" ht="15.75" thickBot="1" x14ac:dyDescent="0.3">
      <c r="B33" s="12" t="s">
        <v>0</v>
      </c>
      <c r="C33" s="12" t="s">
        <v>2</v>
      </c>
      <c r="D33" s="12" t="s">
        <v>4</v>
      </c>
      <c r="E33" s="12" t="s">
        <v>6</v>
      </c>
      <c r="F33" s="10"/>
    </row>
    <row r="34" spans="2:6" ht="28.15" customHeight="1" thickBot="1" x14ac:dyDescent="0.3">
      <c r="B34" s="12" t="s">
        <v>7</v>
      </c>
      <c r="C34" s="26">
        <f>MIN(C26:E26)/C26</f>
        <v>0.88888888888888884</v>
      </c>
      <c r="D34" s="26">
        <f>MIN(C26:E26)/D26</f>
        <v>1</v>
      </c>
      <c r="E34" s="26">
        <f>MIN(C26:E26)/E26</f>
        <v>0.8</v>
      </c>
      <c r="F34" s="10"/>
    </row>
    <row r="35" spans="2:6" ht="30.75" thickBot="1" x14ac:dyDescent="0.3">
      <c r="B35" s="12" t="s">
        <v>8</v>
      </c>
      <c r="C35" s="26">
        <f>C27/MAX(C27:E27)</f>
        <v>0.8571428571428571</v>
      </c>
      <c r="D35" s="26">
        <f>D27/MAX(C27:E27)</f>
        <v>0.8571428571428571</v>
      </c>
      <c r="E35" s="26">
        <f>E27/MAX(C27:E27)</f>
        <v>1</v>
      </c>
      <c r="F35" s="10"/>
    </row>
    <row r="36" spans="2:6" ht="30.75" thickBot="1" x14ac:dyDescent="0.3">
      <c r="B36" s="12" t="s">
        <v>9</v>
      </c>
      <c r="C36" s="26">
        <v>0.63</v>
      </c>
      <c r="D36" s="26">
        <v>0.79</v>
      </c>
      <c r="E36" s="26">
        <v>0.63</v>
      </c>
      <c r="F36" s="10"/>
    </row>
    <row r="37" spans="2:6" ht="15.75" thickBot="1" x14ac:dyDescent="0.3">
      <c r="B37" s="10"/>
      <c r="C37" s="10"/>
      <c r="D37" s="10"/>
      <c r="E37" s="10"/>
      <c r="F37" s="10"/>
    </row>
    <row r="38" spans="2:6" x14ac:dyDescent="0.25">
      <c r="B38" s="30" t="s">
        <v>23</v>
      </c>
      <c r="C38" s="38">
        <f>(C34+D34+E34)/3</f>
        <v>0.89629629629629637</v>
      </c>
      <c r="D38" s="10"/>
      <c r="E38" s="41" t="s">
        <v>26</v>
      </c>
      <c r="F38" s="38">
        <f>(ABS(C34-C38)+ABS(D34-C38)+ABS(E34-C38))/(C38*3)</f>
        <v>7.7134986225895333E-2</v>
      </c>
    </row>
    <row r="39" spans="2:6" x14ac:dyDescent="0.25">
      <c r="B39" s="31" t="s">
        <v>24</v>
      </c>
      <c r="C39" s="39">
        <f>(C35+D35+E35)/3</f>
        <v>0.90476190476190477</v>
      </c>
      <c r="D39" s="10"/>
      <c r="E39" s="42" t="s">
        <v>27</v>
      </c>
      <c r="F39" s="39">
        <f>(ABS(C35-C39)+ABS(D35-C39)+ABS(E35-C39))/(C39*3)</f>
        <v>7.0175438596491266E-2</v>
      </c>
    </row>
    <row r="40" spans="2:6" ht="15.75" thickBot="1" x14ac:dyDescent="0.3">
      <c r="B40" s="33" t="s">
        <v>25</v>
      </c>
      <c r="C40" s="40">
        <f>(C36+D36+E36)/3</f>
        <v>0.68333333333333324</v>
      </c>
      <c r="D40" s="10"/>
      <c r="E40" s="43" t="s">
        <v>28</v>
      </c>
      <c r="F40" s="40">
        <f>(ABS(C36-C40)+ABS(D36-C40)+ABS(E36-C40))/(C40*3)</f>
        <v>0.10406504065040648</v>
      </c>
    </row>
    <row r="41" spans="2:6" ht="15.75" thickBot="1" x14ac:dyDescent="0.3">
      <c r="B41" s="10"/>
      <c r="C41" s="10"/>
      <c r="D41" s="10"/>
      <c r="E41" s="10"/>
      <c r="F41" s="10"/>
    </row>
    <row r="42" spans="2:6" ht="15.75" thickBot="1" x14ac:dyDescent="0.3">
      <c r="B42" s="45" t="s">
        <v>29</v>
      </c>
      <c r="C42" s="46">
        <f>SUM(F38:F40)</f>
        <v>0.2513754654727931</v>
      </c>
      <c r="D42" s="10"/>
      <c r="E42" s="49" t="s">
        <v>30</v>
      </c>
      <c r="F42" s="35">
        <f>F38/C42</f>
        <v>0.30685168928804557</v>
      </c>
    </row>
    <row r="43" spans="2:6" x14ac:dyDescent="0.25">
      <c r="B43" s="10"/>
      <c r="C43" s="10"/>
      <c r="D43" s="10"/>
      <c r="E43" s="50" t="s">
        <v>31</v>
      </c>
      <c r="F43" s="36">
        <f>F39/C42</f>
        <v>0.27916582258536482</v>
      </c>
    </row>
    <row r="44" spans="2:6" ht="15.75" thickBot="1" x14ac:dyDescent="0.3">
      <c r="B44" s="10"/>
      <c r="C44" s="10"/>
      <c r="D44" s="10"/>
      <c r="E44" s="51" t="s">
        <v>32</v>
      </c>
      <c r="F44" s="37">
        <f>F40/C42</f>
        <v>0.4139824881265895</v>
      </c>
    </row>
    <row r="45" spans="2:6" x14ac:dyDescent="0.25">
      <c r="B45" s="10"/>
      <c r="C45" s="10"/>
      <c r="D45" s="10"/>
      <c r="E45" s="10"/>
      <c r="F45" s="10"/>
    </row>
    <row r="46" spans="2:6" x14ac:dyDescent="0.25">
      <c r="B46" s="197" t="s">
        <v>33</v>
      </c>
      <c r="C46" s="197"/>
      <c r="D46" s="10"/>
      <c r="E46" s="10"/>
      <c r="F46" s="10"/>
    </row>
    <row r="47" spans="2:6" ht="15.75" thickBot="1" x14ac:dyDescent="0.3">
      <c r="B47" s="10"/>
      <c r="C47" s="10"/>
      <c r="D47" s="10"/>
      <c r="E47" s="10"/>
      <c r="F47" s="10"/>
    </row>
    <row r="48" spans="2:6" ht="15.75" thickBot="1" x14ac:dyDescent="0.3">
      <c r="B48" s="12" t="s">
        <v>0</v>
      </c>
      <c r="C48" s="12" t="s">
        <v>2</v>
      </c>
      <c r="D48" s="12" t="s">
        <v>4</v>
      </c>
      <c r="E48" s="12" t="s">
        <v>6</v>
      </c>
      <c r="F48" s="10"/>
    </row>
    <row r="49" spans="2:8" ht="31.15" customHeight="1" thickBot="1" x14ac:dyDescent="0.3">
      <c r="B49" s="12" t="s">
        <v>7</v>
      </c>
      <c r="C49" s="26">
        <f>F42/C34</f>
        <v>0.34520815044905129</v>
      </c>
      <c r="D49" s="26">
        <f>F42/D34</f>
        <v>0.30685168928804557</v>
      </c>
      <c r="E49" s="26">
        <f>F42/E34</f>
        <v>0.38356461161005695</v>
      </c>
      <c r="F49" s="10"/>
    </row>
    <row r="50" spans="2:8" ht="30.75" thickBot="1" x14ac:dyDescent="0.3">
      <c r="B50" s="12" t="s">
        <v>8</v>
      </c>
      <c r="C50" s="26">
        <f t="shared" ref="C50:C51" si="1">F43/C35</f>
        <v>0.32569345968292562</v>
      </c>
      <c r="D50" s="26">
        <f t="shared" ref="D50:D51" si="2">F43/D35</f>
        <v>0.32569345968292562</v>
      </c>
      <c r="E50" s="26">
        <f t="shared" ref="E50:E51" si="3">F43/E35</f>
        <v>0.27916582258536482</v>
      </c>
      <c r="F50" s="10"/>
    </row>
    <row r="51" spans="2:8" ht="30.75" thickBot="1" x14ac:dyDescent="0.3">
      <c r="B51" s="12" t="s">
        <v>9</v>
      </c>
      <c r="C51" s="26">
        <f t="shared" si="1"/>
        <v>0.65711506051839608</v>
      </c>
      <c r="D51" s="26">
        <f t="shared" si="2"/>
        <v>0.52402846598302466</v>
      </c>
      <c r="E51" s="26">
        <f t="shared" si="3"/>
        <v>0.65711506051839608</v>
      </c>
      <c r="F51" s="10"/>
    </row>
    <row r="52" spans="2:8" ht="15.75" thickBot="1" x14ac:dyDescent="0.3"/>
    <row r="53" spans="2:8" x14ac:dyDescent="0.25">
      <c r="B53" s="30" t="s">
        <v>34</v>
      </c>
      <c r="C53" s="35">
        <f>SUM(C49:C51)</f>
        <v>1.3280166706503729</v>
      </c>
    </row>
    <row r="54" spans="2:8" x14ac:dyDescent="0.25">
      <c r="B54" s="31" t="s">
        <v>35</v>
      </c>
      <c r="C54" s="36">
        <f>SUM(D49:D51)</f>
        <v>1.156573614953996</v>
      </c>
    </row>
    <row r="55" spans="2:8" ht="15.75" thickBot="1" x14ac:dyDescent="0.3">
      <c r="B55" s="33" t="s">
        <v>36</v>
      </c>
      <c r="C55" s="37">
        <f>SUM(E49:E51)</f>
        <v>1.3198454947138178</v>
      </c>
    </row>
    <row r="58" spans="2:8" x14ac:dyDescent="0.25">
      <c r="B58" s="197" t="s">
        <v>37</v>
      </c>
      <c r="C58" s="197"/>
      <c r="D58" s="197"/>
      <c r="E58" s="197"/>
      <c r="F58" s="197"/>
      <c r="G58" s="197"/>
      <c r="H58" s="197"/>
    </row>
    <row r="59" spans="2:8" ht="15.75" thickBot="1" x14ac:dyDescent="0.3"/>
    <row r="60" spans="2:8" ht="15.75" thickBot="1" x14ac:dyDescent="0.3">
      <c r="B60" s="24" t="s">
        <v>0</v>
      </c>
      <c r="C60" s="24" t="s">
        <v>2</v>
      </c>
      <c r="D60" s="24" t="s">
        <v>4</v>
      </c>
    </row>
    <row r="61" spans="2:8" ht="45.75" thickBot="1" x14ac:dyDescent="0.3">
      <c r="B61" s="12" t="s">
        <v>7</v>
      </c>
      <c r="C61" s="12">
        <v>9</v>
      </c>
      <c r="D61" s="12">
        <v>8</v>
      </c>
    </row>
    <row r="62" spans="2:8" ht="30.75" thickBot="1" x14ac:dyDescent="0.3">
      <c r="B62" s="12" t="s">
        <v>8</v>
      </c>
      <c r="C62" s="12">
        <v>120</v>
      </c>
      <c r="D62" s="12">
        <v>120</v>
      </c>
    </row>
    <row r="63" spans="2:8" ht="30.75" thickBot="1" x14ac:dyDescent="0.3">
      <c r="B63" s="12" t="s">
        <v>9</v>
      </c>
      <c r="C63" s="12" t="s">
        <v>11</v>
      </c>
      <c r="D63" s="12" t="s">
        <v>13</v>
      </c>
    </row>
    <row r="65" spans="2:5" ht="15.75" thickBot="1" x14ac:dyDescent="0.3"/>
    <row r="66" spans="2:5" ht="15.75" thickBot="1" x14ac:dyDescent="0.3">
      <c r="B66" s="24" t="s">
        <v>0</v>
      </c>
      <c r="C66" s="24" t="s">
        <v>2</v>
      </c>
      <c r="D66" s="24" t="s">
        <v>4</v>
      </c>
    </row>
    <row r="67" spans="2:5" ht="45.75" thickBot="1" x14ac:dyDescent="0.3">
      <c r="B67" s="12" t="s">
        <v>7</v>
      </c>
      <c r="C67" s="12">
        <v>9</v>
      </c>
      <c r="D67" s="12">
        <v>8</v>
      </c>
      <c r="E67" s="17">
        <v>1</v>
      </c>
    </row>
    <row r="68" spans="2:5" ht="30.75" thickBot="1" x14ac:dyDescent="0.3">
      <c r="B68" s="52" t="s">
        <v>8</v>
      </c>
      <c r="C68" s="52">
        <v>120</v>
      </c>
      <c r="D68" s="52">
        <v>120</v>
      </c>
      <c r="E68" s="17"/>
    </row>
    <row r="69" spans="2:5" ht="30.75" thickBot="1" x14ac:dyDescent="0.3">
      <c r="B69" s="12" t="s">
        <v>9</v>
      </c>
      <c r="C69" s="12">
        <v>0.63</v>
      </c>
      <c r="D69" s="12">
        <v>0.79</v>
      </c>
      <c r="E69" s="17">
        <v>2</v>
      </c>
    </row>
    <row r="71" spans="2:5" ht="15.75" thickBot="1" x14ac:dyDescent="0.3"/>
    <row r="72" spans="2:5" x14ac:dyDescent="0.25">
      <c r="B72" s="27" t="s">
        <v>38</v>
      </c>
      <c r="C72" s="53">
        <f>2 + 1 -E67</f>
        <v>2</v>
      </c>
      <c r="E72" t="s">
        <v>41</v>
      </c>
    </row>
    <row r="73" spans="2:5" x14ac:dyDescent="0.25">
      <c r="B73" s="28"/>
      <c r="C73" s="54"/>
    </row>
    <row r="74" spans="2:5" ht="15.75" thickBot="1" x14ac:dyDescent="0.3">
      <c r="B74" s="29" t="s">
        <v>40</v>
      </c>
      <c r="C74" s="55">
        <f>2 + 1 -E69</f>
        <v>1</v>
      </c>
    </row>
    <row r="75" spans="2:5" x14ac:dyDescent="0.25">
      <c r="B75" s="17"/>
      <c r="C75" s="17"/>
    </row>
    <row r="76" spans="2:5" ht="15.75" thickBot="1" x14ac:dyDescent="0.3">
      <c r="B76" s="17"/>
      <c r="C76" s="17"/>
    </row>
    <row r="77" spans="2:5" x14ac:dyDescent="0.25">
      <c r="B77" s="30" t="s">
        <v>42</v>
      </c>
      <c r="C77" s="38">
        <f>C67/D67</f>
        <v>1.125</v>
      </c>
      <c r="E77" t="s">
        <v>44</v>
      </c>
    </row>
    <row r="78" spans="2:5" x14ac:dyDescent="0.25">
      <c r="B78" s="31"/>
      <c r="C78" s="39"/>
    </row>
    <row r="79" spans="2:5" ht="15.75" thickBot="1" x14ac:dyDescent="0.3">
      <c r="B79" s="33" t="s">
        <v>43</v>
      </c>
      <c r="C79" s="40">
        <f>D69/C69</f>
        <v>1.253968253968254</v>
      </c>
    </row>
    <row r="80" spans="2:5" x14ac:dyDescent="0.25">
      <c r="B80" s="17"/>
      <c r="C80" s="17"/>
    </row>
    <row r="81" spans="2:5" ht="15.75" thickBot="1" x14ac:dyDescent="0.3">
      <c r="B81" s="17"/>
      <c r="C81" s="17"/>
    </row>
    <row r="82" spans="2:5" x14ac:dyDescent="0.25">
      <c r="B82" s="41" t="s">
        <v>45</v>
      </c>
      <c r="C82" s="38">
        <f>POWER(C77, C72)</f>
        <v>1.265625</v>
      </c>
      <c r="E82" t="s">
        <v>47</v>
      </c>
    </row>
    <row r="83" spans="2:5" x14ac:dyDescent="0.25">
      <c r="B83" s="42"/>
      <c r="C83" s="39"/>
    </row>
    <row r="84" spans="2:5" ht="15.75" thickBot="1" x14ac:dyDescent="0.3">
      <c r="B84" s="43" t="s">
        <v>46</v>
      </c>
      <c r="C84" s="40">
        <f t="shared" ref="C84" si="4">POWER(C79, C74)</f>
        <v>1.253968253968254</v>
      </c>
    </row>
    <row r="86" spans="2:5" ht="15.75" thickBot="1" x14ac:dyDescent="0.3"/>
    <row r="87" spans="2:5" x14ac:dyDescent="0.25">
      <c r="B87" s="56" t="s">
        <v>48</v>
      </c>
      <c r="C87" s="38">
        <f>C82</f>
        <v>1.265625</v>
      </c>
      <c r="E87" t="s">
        <v>50</v>
      </c>
    </row>
    <row r="88" spans="2:5" ht="15.75" thickBot="1" x14ac:dyDescent="0.3">
      <c r="B88" s="57" t="s">
        <v>49</v>
      </c>
      <c r="C88" s="40">
        <f>C84</f>
        <v>1.253968253968254</v>
      </c>
      <c r="E88" t="s">
        <v>51</v>
      </c>
    </row>
    <row r="90" spans="2:5" ht="15.75" thickBot="1" x14ac:dyDescent="0.3"/>
    <row r="91" spans="2:5" ht="15.75" thickBot="1" x14ac:dyDescent="0.3">
      <c r="B91" s="58" t="s">
        <v>52</v>
      </c>
      <c r="C91" s="44">
        <f>C87/C88</f>
        <v>1.0092958860759493</v>
      </c>
      <c r="E91" t="s">
        <v>53</v>
      </c>
    </row>
    <row r="94" spans="2:5" x14ac:dyDescent="0.25">
      <c r="B94" t="s">
        <v>54</v>
      </c>
    </row>
    <row r="95" spans="2:5" ht="15.75" thickBot="1" x14ac:dyDescent="0.3"/>
    <row r="96" spans="2:5" x14ac:dyDescent="0.25">
      <c r="B96" s="201" t="s">
        <v>55</v>
      </c>
      <c r="C96" s="203" t="s">
        <v>56</v>
      </c>
      <c r="D96" s="203"/>
      <c r="E96" s="204"/>
    </row>
    <row r="97" spans="2:5" x14ac:dyDescent="0.25">
      <c r="B97" s="202"/>
      <c r="C97" s="61" t="s">
        <v>57</v>
      </c>
      <c r="D97" s="61" t="s">
        <v>58</v>
      </c>
      <c r="E97" s="54" t="s">
        <v>59</v>
      </c>
    </row>
    <row r="98" spans="2:5" x14ac:dyDescent="0.25">
      <c r="B98" s="62">
        <v>1</v>
      </c>
      <c r="C98" s="61">
        <v>1</v>
      </c>
      <c r="D98" s="61">
        <v>3</v>
      </c>
      <c r="E98" s="54">
        <v>2</v>
      </c>
    </row>
    <row r="99" spans="2:5" ht="15.75" thickBot="1" x14ac:dyDescent="0.3">
      <c r="B99" s="57">
        <v>2</v>
      </c>
      <c r="C99" s="63">
        <v>1</v>
      </c>
      <c r="D99" s="63">
        <v>2</v>
      </c>
      <c r="E99" s="55">
        <v>3</v>
      </c>
    </row>
    <row r="101" spans="2:5" ht="15.75" thickBot="1" x14ac:dyDescent="0.3"/>
    <row r="102" spans="2:5" x14ac:dyDescent="0.25">
      <c r="B102" s="201" t="s">
        <v>55</v>
      </c>
      <c r="C102" s="203" t="s">
        <v>56</v>
      </c>
      <c r="D102" s="203"/>
      <c r="E102" s="204"/>
    </row>
    <row r="103" spans="2:5" x14ac:dyDescent="0.25">
      <c r="B103" s="202"/>
      <c r="C103" s="61" t="s">
        <v>57</v>
      </c>
      <c r="D103" s="61" t="s">
        <v>58</v>
      </c>
      <c r="E103" s="54" t="s">
        <v>59</v>
      </c>
    </row>
    <row r="104" spans="2:5" x14ac:dyDescent="0.25">
      <c r="B104" s="62">
        <v>1</v>
      </c>
      <c r="C104" s="61">
        <f>3-C98</f>
        <v>2</v>
      </c>
      <c r="D104" s="61">
        <f t="shared" ref="D104:E104" si="5">3-D98</f>
        <v>0</v>
      </c>
      <c r="E104" s="54">
        <f t="shared" si="5"/>
        <v>1</v>
      </c>
    </row>
    <row r="105" spans="2:5" ht="15.75" thickBot="1" x14ac:dyDescent="0.3">
      <c r="B105" s="57">
        <v>2</v>
      </c>
      <c r="C105" s="63">
        <f>3-C99</f>
        <v>2</v>
      </c>
      <c r="D105" s="63">
        <f t="shared" ref="D105:E105" si="6">3-D99</f>
        <v>1</v>
      </c>
      <c r="E105" s="55">
        <f t="shared" si="6"/>
        <v>0</v>
      </c>
    </row>
    <row r="106" spans="2:5" ht="15.75" thickBot="1" x14ac:dyDescent="0.3"/>
    <row r="107" spans="2:5" x14ac:dyDescent="0.25">
      <c r="B107" s="56" t="s">
        <v>45</v>
      </c>
      <c r="C107" s="53">
        <f>SUM(C104:C105)</f>
        <v>4</v>
      </c>
      <c r="E107" t="s">
        <v>61</v>
      </c>
    </row>
    <row r="108" spans="2:5" x14ac:dyDescent="0.25">
      <c r="B108" s="62" t="s">
        <v>60</v>
      </c>
      <c r="C108" s="54">
        <f>SUM(D104:D105)</f>
        <v>1</v>
      </c>
    </row>
    <row r="109" spans="2:5" ht="15.75" thickBot="1" x14ac:dyDescent="0.3">
      <c r="B109" s="57" t="s">
        <v>46</v>
      </c>
      <c r="C109" s="55">
        <f>SUM(E104:E105)</f>
        <v>1</v>
      </c>
    </row>
    <row r="110" spans="2:5" x14ac:dyDescent="0.25">
      <c r="B110" s="64" t="s">
        <v>62</v>
      </c>
      <c r="C110" s="10">
        <f>SUM(C107:C109)</f>
        <v>6</v>
      </c>
    </row>
    <row r="111" spans="2:5" ht="15.75" thickBot="1" x14ac:dyDescent="0.3"/>
    <row r="112" spans="2:5" x14ac:dyDescent="0.25">
      <c r="B112" s="65" t="s">
        <v>38</v>
      </c>
      <c r="C112" s="66">
        <f>C107/C110</f>
        <v>0.66666666666666663</v>
      </c>
    </row>
    <row r="113" spans="2:8" x14ac:dyDescent="0.25">
      <c r="B113" s="47" t="s">
        <v>39</v>
      </c>
      <c r="C113" s="32">
        <f>C108/C110</f>
        <v>0.16666666666666666</v>
      </c>
    </row>
    <row r="114" spans="2:8" ht="15.75" thickBot="1" x14ac:dyDescent="0.3">
      <c r="B114" s="48" t="s">
        <v>40</v>
      </c>
      <c r="C114" s="34">
        <f>C109/C110</f>
        <v>0.16666666666666666</v>
      </c>
    </row>
    <row r="117" spans="2:8" x14ac:dyDescent="0.25">
      <c r="B117" t="s">
        <v>63</v>
      </c>
    </row>
    <row r="118" spans="2:8" ht="15.75" thickBot="1" x14ac:dyDescent="0.3"/>
    <row r="119" spans="2:8" ht="16.5" thickTop="1" thickBot="1" x14ac:dyDescent="0.3">
      <c r="B119" s="1" t="s">
        <v>0</v>
      </c>
      <c r="C119" s="2" t="s">
        <v>1</v>
      </c>
      <c r="D119" s="2" t="s">
        <v>2</v>
      </c>
      <c r="E119" s="2" t="s">
        <v>3</v>
      </c>
      <c r="F119" s="2" t="s">
        <v>4</v>
      </c>
      <c r="G119" s="2" t="s">
        <v>5</v>
      </c>
      <c r="H119" s="3" t="s">
        <v>6</v>
      </c>
    </row>
    <row r="120" spans="2:8" ht="45.75" thickBot="1" x14ac:dyDescent="0.3">
      <c r="B120" s="4" t="s">
        <v>7</v>
      </c>
      <c r="C120" s="5">
        <v>12</v>
      </c>
      <c r="D120" s="5">
        <v>9</v>
      </c>
      <c r="E120" s="5">
        <v>15</v>
      </c>
      <c r="F120" s="5">
        <v>8</v>
      </c>
      <c r="G120" s="5">
        <v>7</v>
      </c>
      <c r="H120" s="6">
        <v>10</v>
      </c>
    </row>
    <row r="121" spans="2:8" ht="30.75" thickBot="1" x14ac:dyDescent="0.3">
      <c r="B121" s="4" t="s">
        <v>8</v>
      </c>
      <c r="C121" s="5">
        <v>200</v>
      </c>
      <c r="D121" s="5">
        <v>120</v>
      </c>
      <c r="E121" s="5">
        <v>220</v>
      </c>
      <c r="F121" s="5">
        <v>120</v>
      </c>
      <c r="G121" s="5">
        <v>100</v>
      </c>
      <c r="H121" s="6">
        <v>140</v>
      </c>
    </row>
    <row r="122" spans="2:8" ht="30.75" thickBot="1" x14ac:dyDescent="0.3">
      <c r="B122" s="7" t="s">
        <v>9</v>
      </c>
      <c r="C122" s="8" t="s">
        <v>10</v>
      </c>
      <c r="D122" s="8" t="s">
        <v>11</v>
      </c>
      <c r="E122" s="8" t="s">
        <v>12</v>
      </c>
      <c r="F122" s="8" t="s">
        <v>13</v>
      </c>
      <c r="G122" s="8" t="s">
        <v>11</v>
      </c>
      <c r="H122" s="9" t="s">
        <v>11</v>
      </c>
    </row>
    <row r="123" spans="2:8" ht="16.5" thickTop="1" thickBot="1" x14ac:dyDescent="0.3"/>
    <row r="124" spans="2:8" ht="16.5" thickTop="1" thickBot="1" x14ac:dyDescent="0.3">
      <c r="B124" s="71"/>
      <c r="C124" s="72" t="s">
        <v>1</v>
      </c>
      <c r="D124" s="73" t="s">
        <v>2</v>
      </c>
      <c r="E124" s="73" t="s">
        <v>3</v>
      </c>
      <c r="F124" s="73" t="s">
        <v>4</v>
      </c>
      <c r="G124" s="73" t="s">
        <v>5</v>
      </c>
      <c r="H124" s="74" t="s">
        <v>6</v>
      </c>
    </row>
    <row r="125" spans="2:8" x14ac:dyDescent="0.25">
      <c r="B125" s="75" t="s">
        <v>64</v>
      </c>
      <c r="C125" s="67">
        <v>2</v>
      </c>
      <c r="D125" s="68">
        <v>4</v>
      </c>
      <c r="E125" s="68">
        <v>1</v>
      </c>
      <c r="F125" s="68">
        <v>5</v>
      </c>
      <c r="G125" s="68">
        <v>6</v>
      </c>
      <c r="H125" s="76">
        <v>3</v>
      </c>
    </row>
    <row r="126" spans="2:8" x14ac:dyDescent="0.25">
      <c r="B126" s="77" t="s">
        <v>65</v>
      </c>
      <c r="C126" s="69">
        <v>4</v>
      </c>
      <c r="D126" s="70">
        <v>2</v>
      </c>
      <c r="E126" s="70">
        <v>5</v>
      </c>
      <c r="F126" s="70">
        <v>2</v>
      </c>
      <c r="G126" s="70">
        <v>1</v>
      </c>
      <c r="H126" s="78">
        <v>3</v>
      </c>
    </row>
    <row r="127" spans="2:8" ht="15.75" thickBot="1" x14ac:dyDescent="0.3">
      <c r="B127" s="79" t="s">
        <v>66</v>
      </c>
      <c r="C127" s="80">
        <v>4</v>
      </c>
      <c r="D127" s="81">
        <v>3</v>
      </c>
      <c r="E127" s="81">
        <v>1</v>
      </c>
      <c r="F127" s="81">
        <v>2</v>
      </c>
      <c r="G127" s="81">
        <v>3</v>
      </c>
      <c r="H127" s="82">
        <v>3</v>
      </c>
    </row>
    <row r="128" spans="2:8" ht="16.5" thickTop="1" thickBot="1" x14ac:dyDescent="0.3"/>
    <row r="129" spans="2:8" ht="16.5" thickTop="1" thickBot="1" x14ac:dyDescent="0.3">
      <c r="B129" s="84" t="s">
        <v>64</v>
      </c>
      <c r="C129" s="85" t="s">
        <v>1</v>
      </c>
      <c r="D129" s="86" t="s">
        <v>2</v>
      </c>
      <c r="E129" s="86" t="s">
        <v>3</v>
      </c>
      <c r="F129" s="86" t="s">
        <v>4</v>
      </c>
      <c r="G129" s="86" t="s">
        <v>5</v>
      </c>
      <c r="H129" s="87" t="s">
        <v>6</v>
      </c>
    </row>
    <row r="130" spans="2:8" x14ac:dyDescent="0.25">
      <c r="B130" s="88" t="s">
        <v>1</v>
      </c>
      <c r="C130" s="91">
        <v>0</v>
      </c>
      <c r="D130" s="92">
        <v>1</v>
      </c>
      <c r="E130" s="92">
        <v>-1</v>
      </c>
      <c r="F130" s="92">
        <v>1</v>
      </c>
      <c r="G130" s="92">
        <v>1</v>
      </c>
      <c r="H130" s="93">
        <v>1</v>
      </c>
    </row>
    <row r="131" spans="2:8" x14ac:dyDescent="0.25">
      <c r="B131" s="89" t="s">
        <v>2</v>
      </c>
      <c r="C131" s="94">
        <v>-1</v>
      </c>
      <c r="D131" s="95">
        <v>0</v>
      </c>
      <c r="E131" s="95">
        <v>-1</v>
      </c>
      <c r="F131" s="95">
        <v>1</v>
      </c>
      <c r="G131" s="95">
        <v>1</v>
      </c>
      <c r="H131" s="78">
        <v>-1</v>
      </c>
    </row>
    <row r="132" spans="2:8" x14ac:dyDescent="0.25">
      <c r="B132" s="89" t="s">
        <v>3</v>
      </c>
      <c r="C132" s="94">
        <v>1</v>
      </c>
      <c r="D132" s="95">
        <v>1</v>
      </c>
      <c r="E132" s="95">
        <v>0</v>
      </c>
      <c r="F132" s="95">
        <v>1</v>
      </c>
      <c r="G132" s="95">
        <v>1</v>
      </c>
      <c r="H132" s="78">
        <v>1</v>
      </c>
    </row>
    <row r="133" spans="2:8" x14ac:dyDescent="0.25">
      <c r="B133" s="89" t="s">
        <v>4</v>
      </c>
      <c r="C133" s="94">
        <v>-1</v>
      </c>
      <c r="D133" s="95">
        <v>-1</v>
      </c>
      <c r="E133" s="95">
        <v>-1</v>
      </c>
      <c r="F133" s="95">
        <v>0</v>
      </c>
      <c r="G133" s="95">
        <v>1</v>
      </c>
      <c r="H133" s="78">
        <v>-1</v>
      </c>
    </row>
    <row r="134" spans="2:8" x14ac:dyDescent="0.25">
      <c r="B134" s="89" t="s">
        <v>5</v>
      </c>
      <c r="C134" s="94">
        <v>-1</v>
      </c>
      <c r="D134" s="95">
        <v>-1</v>
      </c>
      <c r="E134" s="95">
        <v>-1</v>
      </c>
      <c r="F134" s="95">
        <v>-1</v>
      </c>
      <c r="G134" s="95">
        <v>0</v>
      </c>
      <c r="H134" s="78">
        <v>-1</v>
      </c>
    </row>
    <row r="135" spans="2:8" ht="15.75" thickBot="1" x14ac:dyDescent="0.3">
      <c r="B135" s="90" t="s">
        <v>6</v>
      </c>
      <c r="C135" s="96">
        <v>-1</v>
      </c>
      <c r="D135" s="97">
        <v>1</v>
      </c>
      <c r="E135" s="97">
        <v>-1</v>
      </c>
      <c r="F135" s="97">
        <v>1</v>
      </c>
      <c r="G135" s="97">
        <v>1</v>
      </c>
      <c r="H135" s="82">
        <v>0</v>
      </c>
    </row>
    <row r="136" spans="2:8" ht="16.5" thickTop="1" thickBot="1" x14ac:dyDescent="0.3"/>
    <row r="137" spans="2:8" ht="16.5" thickTop="1" thickBot="1" x14ac:dyDescent="0.3">
      <c r="B137" s="84" t="s">
        <v>65</v>
      </c>
      <c r="C137" s="85" t="s">
        <v>1</v>
      </c>
      <c r="D137" s="86" t="s">
        <v>2</v>
      </c>
      <c r="E137" s="86" t="s">
        <v>3</v>
      </c>
      <c r="F137" s="86" t="s">
        <v>4</v>
      </c>
      <c r="G137" s="86" t="s">
        <v>5</v>
      </c>
      <c r="H137" s="87" t="s">
        <v>6</v>
      </c>
    </row>
    <row r="138" spans="2:8" x14ac:dyDescent="0.25">
      <c r="B138" s="88" t="s">
        <v>1</v>
      </c>
      <c r="C138" s="91">
        <v>0</v>
      </c>
      <c r="D138" s="92">
        <v>-1</v>
      </c>
      <c r="E138" s="92">
        <v>1</v>
      </c>
      <c r="F138" s="92">
        <v>-1</v>
      </c>
      <c r="G138" s="92">
        <v>-1</v>
      </c>
      <c r="H138" s="93">
        <v>-1</v>
      </c>
    </row>
    <row r="139" spans="2:8" x14ac:dyDescent="0.25">
      <c r="B139" s="89" t="s">
        <v>2</v>
      </c>
      <c r="C139" s="94">
        <v>1</v>
      </c>
      <c r="D139" s="95">
        <v>0</v>
      </c>
      <c r="E139" s="95">
        <v>1</v>
      </c>
      <c r="F139" s="95">
        <v>0</v>
      </c>
      <c r="G139" s="95">
        <v>-1</v>
      </c>
      <c r="H139" s="78">
        <v>1</v>
      </c>
    </row>
    <row r="140" spans="2:8" x14ac:dyDescent="0.25">
      <c r="B140" s="89" t="s">
        <v>3</v>
      </c>
      <c r="C140" s="94">
        <v>-1</v>
      </c>
      <c r="D140" s="95">
        <v>-1</v>
      </c>
      <c r="E140" s="95">
        <v>0</v>
      </c>
      <c r="F140" s="95">
        <v>-1</v>
      </c>
      <c r="G140" s="95">
        <v>-1</v>
      </c>
      <c r="H140" s="78">
        <v>-1</v>
      </c>
    </row>
    <row r="141" spans="2:8" x14ac:dyDescent="0.25">
      <c r="B141" s="89" t="s">
        <v>4</v>
      </c>
      <c r="C141" s="94">
        <v>1</v>
      </c>
      <c r="D141" s="95">
        <v>0</v>
      </c>
      <c r="E141" s="95">
        <v>1</v>
      </c>
      <c r="F141" s="95">
        <v>0</v>
      </c>
      <c r="G141" s="95">
        <v>-1</v>
      </c>
      <c r="H141" s="78">
        <v>1</v>
      </c>
    </row>
    <row r="142" spans="2:8" x14ac:dyDescent="0.25">
      <c r="B142" s="89" t="s">
        <v>5</v>
      </c>
      <c r="C142" s="94">
        <v>1</v>
      </c>
      <c r="D142" s="95">
        <v>1</v>
      </c>
      <c r="E142" s="95">
        <v>1</v>
      </c>
      <c r="F142" s="95">
        <v>1</v>
      </c>
      <c r="G142" s="95">
        <v>0</v>
      </c>
      <c r="H142" s="78">
        <v>1</v>
      </c>
    </row>
    <row r="143" spans="2:8" ht="15.75" thickBot="1" x14ac:dyDescent="0.3">
      <c r="B143" s="90" t="s">
        <v>6</v>
      </c>
      <c r="C143" s="96">
        <v>1</v>
      </c>
      <c r="D143" s="97">
        <v>-1</v>
      </c>
      <c r="E143" s="97">
        <v>1</v>
      </c>
      <c r="F143" s="97">
        <v>-1</v>
      </c>
      <c r="G143" s="97">
        <v>-1</v>
      </c>
      <c r="H143" s="82">
        <v>0</v>
      </c>
    </row>
    <row r="144" spans="2:8" ht="16.5" thickTop="1" thickBot="1" x14ac:dyDescent="0.3"/>
    <row r="145" spans="2:10" ht="16.5" thickTop="1" thickBot="1" x14ac:dyDescent="0.3">
      <c r="B145" s="84" t="s">
        <v>66</v>
      </c>
      <c r="C145" s="85" t="s">
        <v>1</v>
      </c>
      <c r="D145" s="86" t="s">
        <v>2</v>
      </c>
      <c r="E145" s="86" t="s">
        <v>3</v>
      </c>
      <c r="F145" s="86" t="s">
        <v>4</v>
      </c>
      <c r="G145" s="86" t="s">
        <v>5</v>
      </c>
      <c r="H145" s="87" t="s">
        <v>6</v>
      </c>
    </row>
    <row r="146" spans="2:10" x14ac:dyDescent="0.25">
      <c r="B146" s="88" t="s">
        <v>1</v>
      </c>
      <c r="C146" s="91">
        <v>0</v>
      </c>
      <c r="D146" s="92">
        <v>-1</v>
      </c>
      <c r="E146" s="92">
        <v>-1</v>
      </c>
      <c r="F146" s="92">
        <v>-1</v>
      </c>
      <c r="G146" s="92">
        <v>-1</v>
      </c>
      <c r="H146" s="93">
        <v>-1</v>
      </c>
    </row>
    <row r="147" spans="2:10" x14ac:dyDescent="0.25">
      <c r="B147" s="89" t="s">
        <v>2</v>
      </c>
      <c r="C147" s="94">
        <v>1</v>
      </c>
      <c r="D147" s="95">
        <v>0</v>
      </c>
      <c r="E147" s="95">
        <v>-1</v>
      </c>
      <c r="F147" s="95">
        <v>-1</v>
      </c>
      <c r="G147" s="95">
        <v>0</v>
      </c>
      <c r="H147" s="78">
        <v>0</v>
      </c>
    </row>
    <row r="148" spans="2:10" x14ac:dyDescent="0.25">
      <c r="B148" s="89" t="s">
        <v>3</v>
      </c>
      <c r="C148" s="94">
        <v>1</v>
      </c>
      <c r="D148" s="95">
        <v>1</v>
      </c>
      <c r="E148" s="95">
        <v>0</v>
      </c>
      <c r="F148" s="95">
        <v>1</v>
      </c>
      <c r="G148" s="95">
        <v>1</v>
      </c>
      <c r="H148" s="78">
        <v>1</v>
      </c>
    </row>
    <row r="149" spans="2:10" x14ac:dyDescent="0.25">
      <c r="B149" s="89" t="s">
        <v>4</v>
      </c>
      <c r="C149" s="94">
        <v>1</v>
      </c>
      <c r="D149" s="95">
        <v>1</v>
      </c>
      <c r="E149" s="95">
        <v>-1</v>
      </c>
      <c r="F149" s="95">
        <v>0</v>
      </c>
      <c r="G149" s="95">
        <v>1</v>
      </c>
      <c r="H149" s="78">
        <v>1</v>
      </c>
    </row>
    <row r="150" spans="2:10" x14ac:dyDescent="0.25">
      <c r="B150" s="89" t="s">
        <v>5</v>
      </c>
      <c r="C150" s="94">
        <v>1</v>
      </c>
      <c r="D150" s="95">
        <v>0</v>
      </c>
      <c r="E150" s="95">
        <v>-1</v>
      </c>
      <c r="F150" s="95">
        <v>-1</v>
      </c>
      <c r="G150" s="95">
        <v>0</v>
      </c>
      <c r="H150" s="78">
        <v>0</v>
      </c>
    </row>
    <row r="151" spans="2:10" ht="15.75" thickBot="1" x14ac:dyDescent="0.3">
      <c r="B151" s="90" t="s">
        <v>6</v>
      </c>
      <c r="C151" s="96">
        <v>1</v>
      </c>
      <c r="D151" s="97">
        <v>0</v>
      </c>
      <c r="E151" s="97">
        <v>-1</v>
      </c>
      <c r="F151" s="97">
        <v>-1</v>
      </c>
      <c r="G151" s="97">
        <v>0</v>
      </c>
      <c r="H151" s="82">
        <v>0</v>
      </c>
    </row>
    <row r="152" spans="2:10" ht="15.75" thickTop="1" x14ac:dyDescent="0.25"/>
    <row r="153" spans="2:10" ht="15.75" thickBot="1" x14ac:dyDescent="0.3"/>
    <row r="154" spans="2:10" ht="15.6" customHeight="1" thickTop="1" thickBot="1" x14ac:dyDescent="0.3">
      <c r="B154" s="84"/>
      <c r="C154" s="85" t="s">
        <v>1</v>
      </c>
      <c r="D154" s="86" t="s">
        <v>2</v>
      </c>
      <c r="E154" s="86" t="s">
        <v>3</v>
      </c>
      <c r="F154" s="86" t="s">
        <v>4</v>
      </c>
      <c r="G154" s="86" t="s">
        <v>5</v>
      </c>
      <c r="H154" s="87" t="s">
        <v>6</v>
      </c>
      <c r="J154" s="25" t="s">
        <v>67</v>
      </c>
    </row>
    <row r="155" spans="2:10" x14ac:dyDescent="0.25">
      <c r="B155" s="88" t="s">
        <v>1</v>
      </c>
      <c r="C155" s="98">
        <v>0</v>
      </c>
      <c r="D155" s="98">
        <f>(C112*ABS(D130-1)+C113*ABS(D138-1)+C114*ABS(D146-1))</f>
        <v>0.66666666666666663</v>
      </c>
      <c r="E155" s="98">
        <f>(C112*ABS(E130-1)+C113*ABS(E138-1)+C114*ABS(E146-1))</f>
        <v>1.6666666666666665</v>
      </c>
      <c r="F155" s="98">
        <f>(C112*ABS(F130-1)+C113*ABS(F138-1)+C114*ABS(F146-1))</f>
        <v>0.66666666666666663</v>
      </c>
      <c r="G155" s="98">
        <f>(C112*ABS(G130-1)+C113*ABS(G138-1)+C114*ABS(G146-1))</f>
        <v>0.66666666666666663</v>
      </c>
      <c r="H155" s="99">
        <f>(C112*ABS(H130-1)+C113*ABS(H138-1)+C114*ABS(H146-1))</f>
        <v>0.66666666666666663</v>
      </c>
    </row>
    <row r="156" spans="2:10" x14ac:dyDescent="0.25">
      <c r="B156" s="89" t="s">
        <v>2</v>
      </c>
      <c r="C156" s="98">
        <f>(C112*ABS(C131-1)+C113*ABS(C139-1)+C114*ABS(C147-1))</f>
        <v>1.3333333333333333</v>
      </c>
      <c r="D156" s="98">
        <v>0</v>
      </c>
      <c r="E156" s="98">
        <f>(C112*ABS(E131-1)+C113*ABS(E139-1)+C114*ABS(E147-1))</f>
        <v>1.6666666666666665</v>
      </c>
      <c r="F156" s="98">
        <f>(C112*ABS(F131-1)+C113*ABS(F139-1)+C114*ABS(F147-1))</f>
        <v>0.5</v>
      </c>
      <c r="G156" s="98">
        <f>(C112*ABS(G131-1)+C113*ABS(G139-1)+C114*ABS(G147-1))</f>
        <v>0.5</v>
      </c>
      <c r="H156" s="99">
        <f>(C112*ABS(H131-1)+C113*ABS(H139-1)+C114*ABS(H147-1))</f>
        <v>1.5</v>
      </c>
    </row>
    <row r="157" spans="2:10" x14ac:dyDescent="0.25">
      <c r="B157" s="89" t="s">
        <v>3</v>
      </c>
      <c r="C157" s="98">
        <f>(C112*ABS(C132-1)+C113*ABS(C140-1)+C114*ABS(C148-1))</f>
        <v>0.33333333333333331</v>
      </c>
      <c r="D157" s="98">
        <f>(C112*ABS(D132-1)+C113*ABS(D140-1)+C114*ABS(D148-1))</f>
        <v>0.33333333333333331</v>
      </c>
      <c r="E157" s="98">
        <v>0</v>
      </c>
      <c r="F157" s="98">
        <f>(C112*ABS(F132-1)+C113*ABS(F140-1)+C114*ABS(F148-1))</f>
        <v>0.33333333333333331</v>
      </c>
      <c r="G157" s="98">
        <f>(C112*ABS(G132-1)+C113*ABS(G140-1)+C114*ABS(G148-1))</f>
        <v>0.33333333333333331</v>
      </c>
      <c r="H157" s="99">
        <f>(C112*ABS(H132-1)+C113*ABS(H140-1)+C114*ABS(H148-1))</f>
        <v>0.33333333333333331</v>
      </c>
    </row>
    <row r="158" spans="2:10" x14ac:dyDescent="0.25">
      <c r="B158" s="89" t="s">
        <v>4</v>
      </c>
      <c r="C158" s="98">
        <f>(C112*ABS(C133-1)+C113*ABS(C141-1)+C114*ABS(C149-1))</f>
        <v>1.3333333333333333</v>
      </c>
      <c r="D158" s="98">
        <f>(C112*ABS(D133-1)+C113*ABS(D141-1)+C114*ABS(D149-1))</f>
        <v>1.5</v>
      </c>
      <c r="E158" s="98">
        <f>(C112*ABS(E133-1)+C113*ABS(E141-1)+C114*ABS(E149-1))</f>
        <v>1.6666666666666665</v>
      </c>
      <c r="F158" s="98">
        <v>0</v>
      </c>
      <c r="G158" s="98">
        <f>(C112*ABS(G133-1)+C113*ABS(G141-1)+C114*ABS(G149-1))</f>
        <v>0.33333333333333331</v>
      </c>
      <c r="H158" s="99">
        <f>(C112*ABS(H133-1)+C113*ABS(H141-1)+C114*ABS(H149-1))</f>
        <v>1.3333333333333333</v>
      </c>
    </row>
    <row r="159" spans="2:10" x14ac:dyDescent="0.25">
      <c r="B159" s="89" t="s">
        <v>5</v>
      </c>
      <c r="C159" s="98">
        <f>(C112*ABS(C134-1)+C113*ABS(C142-1)+C114*ABS(C150-1))</f>
        <v>1.3333333333333333</v>
      </c>
      <c r="D159" s="98">
        <f>(C112*ABS(D134-1)+C113*ABS(D142-1)+C114*ABS(D150-1))</f>
        <v>1.5</v>
      </c>
      <c r="E159" s="98">
        <f>(C112*ABS(E134-1)+C113*ABS(E142-1)+C114*ABS(E150-1))</f>
        <v>1.6666666666666665</v>
      </c>
      <c r="F159" s="98">
        <f>(C112*ABS(F134-1)+C113*ABS(F142-1)+C114*ABS(F150-1))</f>
        <v>1.6666666666666665</v>
      </c>
      <c r="G159" s="98">
        <v>0</v>
      </c>
      <c r="H159" s="99">
        <f>(C112*ABS(H134-1)+C113*ABS(H142-1)+C114*ABS(H150-1))</f>
        <v>1.5</v>
      </c>
    </row>
    <row r="160" spans="2:10" ht="15.75" thickBot="1" x14ac:dyDescent="0.3">
      <c r="B160" s="90" t="s">
        <v>6</v>
      </c>
      <c r="C160" s="100">
        <f>(C112*ABS(C135-1)+C113*ABS(C143-1)+C114*ABS(C151-1))</f>
        <v>1.3333333333333333</v>
      </c>
      <c r="D160" s="100">
        <f>(C112*ABS(D135-1)+C113*ABS(D143-1)+C114*ABS(D151-1))</f>
        <v>0.5</v>
      </c>
      <c r="E160" s="100">
        <f>(C112*ABS(E135-1)+C113*ABS(E143-1)+C114*ABS(E151-1))</f>
        <v>1.6666666666666665</v>
      </c>
      <c r="F160" s="100">
        <f>(C112*ABS(F135-1)+C113*ABS(F143-1)+C114*ABS(F151-1))</f>
        <v>0.66666666666666663</v>
      </c>
      <c r="G160" s="100">
        <f>(C112*ABS(G135-1)+C113*ABS(G143-1)+C114*ABS(G151-1))</f>
        <v>0.5</v>
      </c>
      <c r="H160" s="101">
        <v>0</v>
      </c>
    </row>
    <row r="161" spans="2:5" ht="16.5" thickTop="1" thickBot="1" x14ac:dyDescent="0.3"/>
    <row r="162" spans="2:5" x14ac:dyDescent="0.25">
      <c r="B162" s="27" t="s">
        <v>23</v>
      </c>
      <c r="C162" s="35">
        <f>SUM(C155:H155)</f>
        <v>4.333333333333333</v>
      </c>
      <c r="E162" t="s">
        <v>72</v>
      </c>
    </row>
    <row r="163" spans="2:5" x14ac:dyDescent="0.25">
      <c r="B163" s="28" t="s">
        <v>24</v>
      </c>
      <c r="C163" s="36">
        <f t="shared" ref="C163:C167" si="7">SUM(C156:H156)</f>
        <v>5.5</v>
      </c>
    </row>
    <row r="164" spans="2:5" x14ac:dyDescent="0.25">
      <c r="B164" s="102" t="s">
        <v>25</v>
      </c>
      <c r="C164" s="103">
        <f t="shared" si="7"/>
        <v>1.6666666666666665</v>
      </c>
      <c r="D164" t="s">
        <v>71</v>
      </c>
    </row>
    <row r="165" spans="2:5" x14ac:dyDescent="0.25">
      <c r="B165" s="28" t="s">
        <v>68</v>
      </c>
      <c r="C165" s="36">
        <f t="shared" si="7"/>
        <v>6.1666666666666661</v>
      </c>
    </row>
    <row r="166" spans="2:5" x14ac:dyDescent="0.25">
      <c r="B166" s="104" t="s">
        <v>69</v>
      </c>
      <c r="C166" s="105">
        <f t="shared" si="7"/>
        <v>7.6666666666666661</v>
      </c>
    </row>
    <row r="167" spans="2:5" ht="15.75" thickBot="1" x14ac:dyDescent="0.3">
      <c r="B167" s="29" t="s">
        <v>70</v>
      </c>
      <c r="C167" s="37">
        <f t="shared" si="7"/>
        <v>4.666666666666667</v>
      </c>
    </row>
    <row r="168" spans="2:5" ht="15.75" thickBot="1" x14ac:dyDescent="0.3"/>
    <row r="169" spans="2:5" x14ac:dyDescent="0.25">
      <c r="B169" s="108" t="s">
        <v>23</v>
      </c>
      <c r="C169" s="109">
        <f>SUM(C155:D155,F155:H155)</f>
        <v>2.6666666666666665</v>
      </c>
      <c r="D169" t="s">
        <v>74</v>
      </c>
      <c r="E169" t="s">
        <v>73</v>
      </c>
    </row>
    <row r="170" spans="2:5" x14ac:dyDescent="0.25">
      <c r="B170" s="104" t="s">
        <v>24</v>
      </c>
      <c r="C170" s="105">
        <f>SUM(C156:D156,F156:H156)</f>
        <v>3.833333333333333</v>
      </c>
    </row>
    <row r="171" spans="2:5" x14ac:dyDescent="0.25">
      <c r="B171" s="104" t="s">
        <v>68</v>
      </c>
      <c r="C171" s="105">
        <f>SUM(C158:D158,F158:H158)</f>
        <v>4.5</v>
      </c>
    </row>
    <row r="172" spans="2:5" x14ac:dyDescent="0.25">
      <c r="B172" s="104" t="s">
        <v>69</v>
      </c>
      <c r="C172" s="105">
        <f>SUM(C159:D159,F159:H159)</f>
        <v>6</v>
      </c>
    </row>
    <row r="173" spans="2:5" ht="15.75" thickBot="1" x14ac:dyDescent="0.3">
      <c r="B173" s="106" t="s">
        <v>70</v>
      </c>
      <c r="C173" s="107">
        <f>SUM(C160:D160,F160:H160)</f>
        <v>3</v>
      </c>
    </row>
    <row r="174" spans="2:5" ht="15.75" thickBot="1" x14ac:dyDescent="0.3">
      <c r="B174" s="114"/>
      <c r="C174" s="114"/>
    </row>
    <row r="175" spans="2:5" x14ac:dyDescent="0.25">
      <c r="B175" s="110" t="s">
        <v>24</v>
      </c>
      <c r="C175" s="111">
        <f>SUM(D156,F156:H156)</f>
        <v>2.5</v>
      </c>
      <c r="E175" t="s">
        <v>75</v>
      </c>
    </row>
    <row r="176" spans="2:5" x14ac:dyDescent="0.25">
      <c r="B176" s="104" t="s">
        <v>68</v>
      </c>
      <c r="C176" s="105">
        <f>SUM(D158,F158:H158)</f>
        <v>3.1666666666666665</v>
      </c>
    </row>
    <row r="177" spans="2:5" x14ac:dyDescent="0.25">
      <c r="B177" s="104" t="s">
        <v>69</v>
      </c>
      <c r="C177" s="105">
        <f>SUM(D159,F159:H159)</f>
        <v>4.6666666666666661</v>
      </c>
    </row>
    <row r="178" spans="2:5" ht="15.75" thickBot="1" x14ac:dyDescent="0.3">
      <c r="B178" s="112" t="s">
        <v>70</v>
      </c>
      <c r="C178" s="113">
        <f>SUM(D160,F160:H160)</f>
        <v>1.6666666666666665</v>
      </c>
      <c r="D178" t="s">
        <v>76</v>
      </c>
    </row>
    <row r="179" spans="2:5" ht="15.75" thickBot="1" x14ac:dyDescent="0.3">
      <c r="B179" s="115"/>
      <c r="C179" s="116"/>
    </row>
    <row r="180" spans="2:5" x14ac:dyDescent="0.25">
      <c r="B180" s="108" t="s">
        <v>24</v>
      </c>
      <c r="C180" s="109">
        <f>SUM(D156,F156,G156)</f>
        <v>1</v>
      </c>
      <c r="D180" t="s">
        <v>79</v>
      </c>
      <c r="E180" t="s">
        <v>77</v>
      </c>
    </row>
    <row r="181" spans="2:5" x14ac:dyDescent="0.25">
      <c r="B181" s="104" t="s">
        <v>68</v>
      </c>
      <c r="C181" s="105">
        <f>SUM(D158,F158,G158)</f>
        <v>1.8333333333333333</v>
      </c>
    </row>
    <row r="182" spans="2:5" ht="15.75" thickBot="1" x14ac:dyDescent="0.3">
      <c r="B182" s="106" t="s">
        <v>69</v>
      </c>
      <c r="C182" s="107">
        <f>SUM(D159,F159,G159)</f>
        <v>3.1666666666666665</v>
      </c>
    </row>
    <row r="183" spans="2:5" ht="15.75" thickBot="1" x14ac:dyDescent="0.3">
      <c r="B183" s="114"/>
      <c r="C183" s="114"/>
    </row>
    <row r="184" spans="2:5" x14ac:dyDescent="0.25">
      <c r="B184" s="108" t="s">
        <v>68</v>
      </c>
      <c r="C184" s="109">
        <f>SUM(G158,F158)</f>
        <v>0.33333333333333331</v>
      </c>
      <c r="D184" t="s">
        <v>80</v>
      </c>
      <c r="E184" t="s">
        <v>78</v>
      </c>
    </row>
    <row r="185" spans="2:5" ht="15.75" thickBot="1" x14ac:dyDescent="0.3">
      <c r="B185" s="117" t="s">
        <v>69</v>
      </c>
      <c r="C185" s="118">
        <f>SUM(F159,G159)</f>
        <v>1.6666666666666665</v>
      </c>
    </row>
    <row r="187" spans="2:5" x14ac:dyDescent="0.25">
      <c r="B187" t="s">
        <v>82</v>
      </c>
    </row>
    <row r="190" spans="2:5" x14ac:dyDescent="0.25">
      <c r="B190" t="s">
        <v>81</v>
      </c>
    </row>
    <row r="191" spans="2:5" ht="15.75" thickBot="1" x14ac:dyDescent="0.3"/>
    <row r="192" spans="2:5" ht="16.5" thickTop="1" thickBot="1" x14ac:dyDescent="0.3">
      <c r="B192" s="1" t="s">
        <v>0</v>
      </c>
      <c r="C192" s="2" t="s">
        <v>1</v>
      </c>
      <c r="D192" s="2" t="s">
        <v>3</v>
      </c>
      <c r="E192" s="3" t="s">
        <v>6</v>
      </c>
    </row>
    <row r="193" spans="2:9" ht="45.75" thickBot="1" x14ac:dyDescent="0.3">
      <c r="B193" s="4" t="s">
        <v>7</v>
      </c>
      <c r="C193" s="5">
        <v>12</v>
      </c>
      <c r="D193" s="5">
        <v>15</v>
      </c>
      <c r="E193" s="6">
        <v>10</v>
      </c>
    </row>
    <row r="194" spans="2:9" ht="30.75" thickBot="1" x14ac:dyDescent="0.3">
      <c r="B194" s="4" t="s">
        <v>8</v>
      </c>
      <c r="C194" s="5">
        <v>200</v>
      </c>
      <c r="D194" s="5">
        <v>220</v>
      </c>
      <c r="E194" s="6">
        <v>140</v>
      </c>
    </row>
    <row r="195" spans="2:9" ht="30.75" thickBot="1" x14ac:dyDescent="0.3">
      <c r="B195" s="7" t="s">
        <v>9</v>
      </c>
      <c r="C195" s="8" t="s">
        <v>10</v>
      </c>
      <c r="D195" s="8" t="s">
        <v>12</v>
      </c>
      <c r="E195" s="9" t="s">
        <v>11</v>
      </c>
    </row>
    <row r="196" spans="2:9" ht="15.75" thickTop="1" x14ac:dyDescent="0.25"/>
    <row r="197" spans="2:9" ht="15.75" thickBot="1" x14ac:dyDescent="0.3"/>
    <row r="198" spans="2:9" ht="21.6" customHeight="1" thickTop="1" thickBot="1" x14ac:dyDescent="0.3">
      <c r="B198" s="1" t="s">
        <v>0</v>
      </c>
      <c r="C198" s="2" t="s">
        <v>1</v>
      </c>
      <c r="D198" s="2" t="s">
        <v>3</v>
      </c>
      <c r="E198" s="3" t="s">
        <v>6</v>
      </c>
      <c r="G198" s="199" t="s">
        <v>83</v>
      </c>
      <c r="H198" s="199"/>
      <c r="I198" s="199"/>
    </row>
    <row r="199" spans="2:9" ht="29.45" customHeight="1" thickBot="1" x14ac:dyDescent="0.3">
      <c r="B199" s="4" t="s">
        <v>7</v>
      </c>
      <c r="C199" s="120">
        <f>MIN(C193:E193)/C193</f>
        <v>0.83333333333333337</v>
      </c>
      <c r="D199" s="120">
        <f>MIN(C193:E193)/D193</f>
        <v>0.66666666666666663</v>
      </c>
      <c r="E199" s="120">
        <f>MIN(C193:E193)/E193</f>
        <v>1</v>
      </c>
    </row>
    <row r="200" spans="2:9" ht="31.15" customHeight="1" thickBot="1" x14ac:dyDescent="0.3">
      <c r="B200" s="4" t="s">
        <v>8</v>
      </c>
      <c r="C200" s="120">
        <f>C194/MAX(C194:E194)</f>
        <v>0.90909090909090906</v>
      </c>
      <c r="D200" s="120">
        <f>D194/MAX(C194:E194)</f>
        <v>1</v>
      </c>
      <c r="E200" s="120">
        <f>E194/MAX(C194:E194)</f>
        <v>0.63636363636363635</v>
      </c>
    </row>
    <row r="201" spans="2:9" ht="30.75" thickBot="1" x14ac:dyDescent="0.3">
      <c r="B201" s="7" t="s">
        <v>9</v>
      </c>
      <c r="C201" s="15">
        <v>0.11</v>
      </c>
      <c r="D201" s="15">
        <v>0.9</v>
      </c>
      <c r="E201" s="15">
        <v>0.63</v>
      </c>
    </row>
    <row r="202" spans="2:9" ht="16.5" thickTop="1" thickBot="1" x14ac:dyDescent="0.3"/>
    <row r="203" spans="2:9" ht="16.5" thickTop="1" thickBot="1" x14ac:dyDescent="0.3">
      <c r="B203" s="124"/>
      <c r="C203" s="125" t="s">
        <v>1</v>
      </c>
      <c r="D203" s="126" t="s">
        <v>3</v>
      </c>
      <c r="E203" s="127" t="s">
        <v>6</v>
      </c>
      <c r="G203" s="200" t="s">
        <v>84</v>
      </c>
      <c r="H203" s="200"/>
      <c r="I203" s="200"/>
    </row>
    <row r="204" spans="2:9" x14ac:dyDescent="0.25">
      <c r="B204" s="121" t="s">
        <v>1</v>
      </c>
      <c r="C204" s="56">
        <v>0</v>
      </c>
      <c r="D204" s="130">
        <f>C113</f>
        <v>0.16666666666666666</v>
      </c>
      <c r="E204" s="131">
        <f>C112</f>
        <v>0.66666666666666663</v>
      </c>
      <c r="G204" t="s">
        <v>86</v>
      </c>
      <c r="I204" t="s">
        <v>93</v>
      </c>
    </row>
    <row r="205" spans="2:9" x14ac:dyDescent="0.25">
      <c r="B205" s="122" t="s">
        <v>3</v>
      </c>
      <c r="C205" s="42">
        <f>C112+C114</f>
        <v>0.83333333333333326</v>
      </c>
      <c r="D205" s="61">
        <v>0</v>
      </c>
      <c r="E205" s="132">
        <f>C112</f>
        <v>0.66666666666666663</v>
      </c>
      <c r="G205" s="135" t="s">
        <v>87</v>
      </c>
    </row>
    <row r="206" spans="2:9" ht="15.75" thickBot="1" x14ac:dyDescent="0.3">
      <c r="B206" s="123" t="s">
        <v>6</v>
      </c>
      <c r="C206" s="133">
        <f>C113+C114</f>
        <v>0.33333333333333331</v>
      </c>
      <c r="D206" s="134">
        <f>C113</f>
        <v>0.16666666666666666</v>
      </c>
      <c r="E206" s="128">
        <v>0</v>
      </c>
      <c r="G206" t="s">
        <v>88</v>
      </c>
    </row>
    <row r="207" spans="2:9" ht="15.75" thickTop="1" x14ac:dyDescent="0.25"/>
    <row r="208" spans="2:9" ht="15.75" thickBot="1" x14ac:dyDescent="0.3"/>
    <row r="209" spans="2:9" ht="16.5" thickTop="1" thickBot="1" x14ac:dyDescent="0.3">
      <c r="B209" s="124"/>
      <c r="C209" s="125" t="s">
        <v>1</v>
      </c>
      <c r="D209" s="126" t="s">
        <v>3</v>
      </c>
      <c r="E209" s="127" t="s">
        <v>6</v>
      </c>
      <c r="G209" s="200" t="s">
        <v>85</v>
      </c>
      <c r="H209" s="200"/>
      <c r="I209" s="200"/>
    </row>
    <row r="210" spans="2:9" x14ac:dyDescent="0.25">
      <c r="B210" s="121" t="s">
        <v>1</v>
      </c>
      <c r="C210" s="56">
        <v>0</v>
      </c>
      <c r="D210" s="130">
        <f>0.79</f>
        <v>0.79</v>
      </c>
      <c r="E210" s="131">
        <v>0.52</v>
      </c>
      <c r="G210" t="s">
        <v>89</v>
      </c>
      <c r="I210" t="s">
        <v>92</v>
      </c>
    </row>
    <row r="211" spans="2:9" x14ac:dyDescent="0.25">
      <c r="B211" s="122" t="s">
        <v>3</v>
      </c>
      <c r="C211" s="42">
        <v>0.09</v>
      </c>
      <c r="D211" s="61">
        <v>0</v>
      </c>
      <c r="E211" s="132">
        <v>0.36</v>
      </c>
      <c r="G211" s="135" t="s">
        <v>90</v>
      </c>
    </row>
    <row r="212" spans="2:9" ht="15.75" thickBot="1" x14ac:dyDescent="0.3">
      <c r="B212" s="123" t="s">
        <v>6</v>
      </c>
      <c r="C212" s="133">
        <v>0.17</v>
      </c>
      <c r="D212" s="134">
        <v>0.33</v>
      </c>
      <c r="E212" s="128">
        <v>0</v>
      </c>
      <c r="G212" s="135" t="s">
        <v>91</v>
      </c>
    </row>
    <row r="213" spans="2:9" ht="15.75" thickTop="1" x14ac:dyDescent="0.25"/>
    <row r="215" spans="2:9" x14ac:dyDescent="0.25">
      <c r="B215" s="25" t="s">
        <v>94</v>
      </c>
    </row>
  </sheetData>
  <mergeCells count="13">
    <mergeCell ref="G198:I198"/>
    <mergeCell ref="G203:I203"/>
    <mergeCell ref="G209:I209"/>
    <mergeCell ref="B96:B97"/>
    <mergeCell ref="C96:E96"/>
    <mergeCell ref="B102:B103"/>
    <mergeCell ref="C102:E102"/>
    <mergeCell ref="B58:H58"/>
    <mergeCell ref="I19:I21"/>
    <mergeCell ref="B8:F8"/>
    <mergeCell ref="C11:F11"/>
    <mergeCell ref="B23:F23"/>
    <mergeCell ref="B46:C46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B8DA-E6AE-4647-8FB9-B208FF666C93}">
  <dimension ref="A1:P215"/>
  <sheetViews>
    <sheetView tabSelected="1" topLeftCell="A193" zoomScale="85" zoomScaleNormal="85" workbookViewId="0">
      <selection activeCell="I208" sqref="I208"/>
    </sheetView>
  </sheetViews>
  <sheetFormatPr defaultRowHeight="15" x14ac:dyDescent="0.25"/>
  <cols>
    <col min="2" max="2" width="26.140625" customWidth="1"/>
    <col min="3" max="3" width="12.28515625" customWidth="1"/>
    <col min="4" max="4" width="12.7109375" customWidth="1"/>
    <col min="5" max="5" width="12.140625" customWidth="1"/>
    <col min="6" max="6" width="14.7109375" bestFit="1" customWidth="1"/>
    <col min="7" max="7" width="15.7109375" bestFit="1" customWidth="1"/>
    <col min="14" max="15" width="2" bestFit="1" customWidth="1"/>
    <col min="16" max="16" width="23.5703125" bestFit="1" customWidth="1"/>
  </cols>
  <sheetData>
    <row r="1" spans="2:16" ht="15.75" thickBot="1" x14ac:dyDescent="0.3"/>
    <row r="2" spans="2:16" ht="17.25" thickTop="1" thickBot="1" x14ac:dyDescent="0.3">
      <c r="B2" s="177" t="s">
        <v>139</v>
      </c>
      <c r="C2" s="137" t="s">
        <v>123</v>
      </c>
      <c r="D2" s="137" t="s">
        <v>124</v>
      </c>
      <c r="E2" s="137" t="s">
        <v>125</v>
      </c>
      <c r="F2" s="137" t="s">
        <v>126</v>
      </c>
      <c r="G2" s="137" t="s">
        <v>127</v>
      </c>
      <c r="H2" s="138" t="s">
        <v>128</v>
      </c>
      <c r="N2">
        <v>1</v>
      </c>
      <c r="O2">
        <v>2</v>
      </c>
      <c r="P2" t="s">
        <v>95</v>
      </c>
    </row>
    <row r="3" spans="2:16" ht="63.75" thickBot="1" x14ac:dyDescent="0.3">
      <c r="B3" s="168" t="s">
        <v>129</v>
      </c>
      <c r="C3" s="169" t="s">
        <v>130</v>
      </c>
      <c r="D3" s="169" t="s">
        <v>131</v>
      </c>
      <c r="E3" s="169" t="s">
        <v>132</v>
      </c>
      <c r="F3" s="169" t="s">
        <v>130</v>
      </c>
      <c r="G3" s="169" t="s">
        <v>133</v>
      </c>
      <c r="H3" s="170" t="s">
        <v>134</v>
      </c>
      <c r="N3">
        <v>1</v>
      </c>
      <c r="O3">
        <v>3</v>
      </c>
      <c r="P3" t="s">
        <v>95</v>
      </c>
    </row>
    <row r="4" spans="2:16" ht="32.25" thickBot="1" x14ac:dyDescent="0.3">
      <c r="B4" s="171" t="s">
        <v>135</v>
      </c>
      <c r="C4" s="172" t="s">
        <v>132</v>
      </c>
      <c r="D4" s="172" t="s">
        <v>134</v>
      </c>
      <c r="E4" s="172" t="s">
        <v>131</v>
      </c>
      <c r="F4" s="172" t="s">
        <v>136</v>
      </c>
      <c r="G4" s="172" t="s">
        <v>132</v>
      </c>
      <c r="H4" s="173" t="s">
        <v>130</v>
      </c>
      <c r="N4">
        <v>1</v>
      </c>
      <c r="O4">
        <v>4</v>
      </c>
      <c r="P4" t="s">
        <v>95</v>
      </c>
    </row>
    <row r="5" spans="2:16" ht="48" thickBot="1" x14ac:dyDescent="0.3">
      <c r="B5" s="174" t="s">
        <v>137</v>
      </c>
      <c r="C5" s="175">
        <v>2.5</v>
      </c>
      <c r="D5" s="175">
        <v>4</v>
      </c>
      <c r="E5" s="175">
        <v>3</v>
      </c>
      <c r="F5" s="175">
        <v>2</v>
      </c>
      <c r="G5" s="175">
        <v>3</v>
      </c>
      <c r="H5" s="176">
        <v>3.5</v>
      </c>
      <c r="N5">
        <v>1</v>
      </c>
      <c r="O5">
        <v>5</v>
      </c>
      <c r="P5" t="s">
        <v>138</v>
      </c>
    </row>
    <row r="6" spans="2:16" ht="16.5" thickTop="1" x14ac:dyDescent="0.25">
      <c r="B6" s="140"/>
      <c r="C6" s="140"/>
      <c r="D6" s="140"/>
      <c r="E6" s="140"/>
      <c r="F6" s="140"/>
      <c r="G6" s="140"/>
      <c r="H6" s="140"/>
      <c r="N6">
        <v>2</v>
      </c>
      <c r="O6">
        <v>3</v>
      </c>
      <c r="P6" t="s">
        <v>95</v>
      </c>
    </row>
    <row r="7" spans="2:16" ht="15.75" x14ac:dyDescent="0.25">
      <c r="B7" s="215" t="s">
        <v>96</v>
      </c>
      <c r="C7" s="215"/>
      <c r="D7" s="215"/>
      <c r="E7" s="215"/>
      <c r="F7" s="215"/>
      <c r="G7" s="215"/>
      <c r="H7" s="140"/>
      <c r="N7">
        <v>2</v>
      </c>
      <c r="O7">
        <v>4</v>
      </c>
      <c r="P7" t="s">
        <v>95</v>
      </c>
    </row>
    <row r="8" spans="2:16" ht="15.75" thickBot="1" x14ac:dyDescent="0.3">
      <c r="N8">
        <v>2</v>
      </c>
      <c r="O8">
        <v>5</v>
      </c>
      <c r="P8" t="s">
        <v>95</v>
      </c>
    </row>
    <row r="9" spans="2:16" ht="17.25" thickTop="1" thickBot="1" x14ac:dyDescent="0.3">
      <c r="B9" s="177" t="s">
        <v>139</v>
      </c>
      <c r="C9" s="137" t="s">
        <v>123</v>
      </c>
      <c r="D9" s="137" t="s">
        <v>124</v>
      </c>
      <c r="E9" s="137" t="s">
        <v>125</v>
      </c>
      <c r="F9" s="137" t="s">
        <v>126</v>
      </c>
      <c r="G9" s="138" t="s">
        <v>128</v>
      </c>
      <c r="N9">
        <v>2</v>
      </c>
      <c r="O9">
        <v>6</v>
      </c>
      <c r="P9" t="s">
        <v>95</v>
      </c>
    </row>
    <row r="10" spans="2:16" ht="32.25" thickBot="1" x14ac:dyDescent="0.3">
      <c r="B10" s="179" t="s">
        <v>129</v>
      </c>
      <c r="C10" s="169" t="s">
        <v>130</v>
      </c>
      <c r="D10" s="169" t="s">
        <v>131</v>
      </c>
      <c r="E10" s="169" t="s">
        <v>132</v>
      </c>
      <c r="F10" s="169" t="s">
        <v>130</v>
      </c>
      <c r="G10" s="170" t="s">
        <v>134</v>
      </c>
      <c r="N10">
        <v>3</v>
      </c>
      <c r="O10">
        <v>4</v>
      </c>
      <c r="P10" t="s">
        <v>95</v>
      </c>
    </row>
    <row r="11" spans="2:16" ht="32.25" thickBot="1" x14ac:dyDescent="0.3">
      <c r="B11" s="171" t="s">
        <v>135</v>
      </c>
      <c r="C11" s="172" t="s">
        <v>132</v>
      </c>
      <c r="D11" s="172" t="s">
        <v>134</v>
      </c>
      <c r="E11" s="172" t="s">
        <v>131</v>
      </c>
      <c r="F11" s="172" t="s">
        <v>136</v>
      </c>
      <c r="G11" s="173" t="s">
        <v>130</v>
      </c>
      <c r="N11">
        <v>3</v>
      </c>
      <c r="O11">
        <v>5</v>
      </c>
      <c r="P11" t="s">
        <v>95</v>
      </c>
    </row>
    <row r="12" spans="2:16" ht="48" thickBot="1" x14ac:dyDescent="0.3">
      <c r="B12" s="174" t="s">
        <v>137</v>
      </c>
      <c r="C12" s="175">
        <v>2.5</v>
      </c>
      <c r="D12" s="175">
        <v>4</v>
      </c>
      <c r="E12" s="175">
        <v>3</v>
      </c>
      <c r="F12" s="175">
        <v>2</v>
      </c>
      <c r="G12" s="176">
        <v>3.5</v>
      </c>
      <c r="N12">
        <v>3</v>
      </c>
      <c r="O12">
        <v>6</v>
      </c>
      <c r="P12" t="s">
        <v>95</v>
      </c>
    </row>
    <row r="13" spans="2:16" ht="15.75" thickTop="1" x14ac:dyDescent="0.25">
      <c r="N13">
        <v>4</v>
      </c>
      <c r="O13">
        <v>5</v>
      </c>
      <c r="P13" t="s">
        <v>95</v>
      </c>
    </row>
    <row r="14" spans="2:16" x14ac:dyDescent="0.25">
      <c r="B14" s="207" t="s">
        <v>14</v>
      </c>
      <c r="C14" s="207"/>
      <c r="D14" s="207"/>
      <c r="E14" s="207"/>
      <c r="F14" s="207"/>
      <c r="G14" s="207"/>
      <c r="N14">
        <v>4</v>
      </c>
      <c r="O14">
        <v>6</v>
      </c>
      <c r="P14" t="s">
        <v>95</v>
      </c>
    </row>
    <row r="15" spans="2:16" x14ac:dyDescent="0.25">
      <c r="B15" s="11"/>
      <c r="C15" s="11"/>
      <c r="D15" s="11"/>
      <c r="E15" s="11"/>
      <c r="F15" s="11"/>
      <c r="G15" s="11"/>
      <c r="N15">
        <v>5</v>
      </c>
      <c r="O15">
        <v>6</v>
      </c>
      <c r="P15" t="s">
        <v>95</v>
      </c>
    </row>
    <row r="16" spans="2:16" ht="15.75" thickBot="1" x14ac:dyDescent="0.3">
      <c r="B16" s="197" t="s">
        <v>98</v>
      </c>
      <c r="C16" s="197"/>
      <c r="D16" s="197"/>
      <c r="E16" s="197"/>
      <c r="F16" s="197"/>
      <c r="G16" s="197"/>
      <c r="N16" s="196"/>
      <c r="O16" s="196"/>
      <c r="P16" s="196"/>
    </row>
    <row r="17" spans="2:9" ht="16.5" thickBot="1" x14ac:dyDescent="0.3">
      <c r="B17" s="177" t="s">
        <v>139</v>
      </c>
      <c r="C17" s="178" t="s">
        <v>123</v>
      </c>
      <c r="D17" s="178" t="s">
        <v>124</v>
      </c>
      <c r="E17" s="178" t="s">
        <v>125</v>
      </c>
      <c r="F17" s="178" t="s">
        <v>126</v>
      </c>
      <c r="G17" s="178" t="s">
        <v>128</v>
      </c>
    </row>
    <row r="18" spans="2:9" ht="32.25" thickBot="1" x14ac:dyDescent="0.3">
      <c r="B18" s="179" t="s">
        <v>129</v>
      </c>
      <c r="C18" s="16">
        <v>1</v>
      </c>
      <c r="D18" s="16">
        <v>0.75</v>
      </c>
      <c r="E18" s="16">
        <v>0.25</v>
      </c>
      <c r="F18" s="16">
        <v>1</v>
      </c>
      <c r="G18" s="16">
        <v>0.5</v>
      </c>
      <c r="H18" s="216" t="s">
        <v>97</v>
      </c>
    </row>
    <row r="19" spans="2:9" ht="28.15" customHeight="1" thickBot="1" x14ac:dyDescent="0.3">
      <c r="B19" s="179" t="s">
        <v>135</v>
      </c>
      <c r="C19" s="16">
        <v>0.25</v>
      </c>
      <c r="D19" s="16">
        <v>0.5</v>
      </c>
      <c r="E19" s="16">
        <v>0.75</v>
      </c>
      <c r="F19" s="16">
        <v>0.1</v>
      </c>
      <c r="G19" s="16">
        <v>1</v>
      </c>
      <c r="H19" s="216"/>
    </row>
    <row r="20" spans="2:9" ht="51" customHeight="1" thickBot="1" x14ac:dyDescent="0.3">
      <c r="B20" s="179" t="s">
        <v>137</v>
      </c>
      <c r="C20" s="16">
        <f>MIN(C12:G12)/C12</f>
        <v>0.8</v>
      </c>
      <c r="D20" s="16">
        <f>MIN(C12:G12)/D12</f>
        <v>0.5</v>
      </c>
      <c r="E20" s="16">
        <f>MIN(C12:G12)/E12</f>
        <v>0.66666666666666663</v>
      </c>
      <c r="F20" s="16">
        <f>MIN(C12:G12)/F12</f>
        <v>1</v>
      </c>
      <c r="G20" s="16">
        <f>MIN(C12:G12)/G12</f>
        <v>0.5714285714285714</v>
      </c>
      <c r="H20" s="17"/>
      <c r="I20" s="83"/>
    </row>
    <row r="21" spans="2:9" ht="15" customHeight="1" x14ac:dyDescent="0.25">
      <c r="H21" s="17"/>
      <c r="I21" s="83"/>
    </row>
    <row r="22" spans="2:9" ht="15.75" thickBot="1" x14ac:dyDescent="0.3">
      <c r="C22" s="209" t="s">
        <v>140</v>
      </c>
      <c r="D22" s="209"/>
      <c r="E22" s="209"/>
    </row>
    <row r="23" spans="2:9" ht="19.5" thickBot="1" x14ac:dyDescent="0.3">
      <c r="B23" s="18" t="s">
        <v>17</v>
      </c>
      <c r="C23" s="165" t="s">
        <v>123</v>
      </c>
      <c r="D23" s="165" t="s">
        <v>124</v>
      </c>
      <c r="E23" s="165" t="s">
        <v>125</v>
      </c>
      <c r="F23" s="165" t="s">
        <v>126</v>
      </c>
      <c r="G23" s="165" t="s">
        <v>128</v>
      </c>
    </row>
    <row r="24" spans="2:9" ht="27" thickBot="1" x14ac:dyDescent="0.3">
      <c r="B24" s="20" t="s">
        <v>18</v>
      </c>
      <c r="C24" s="142">
        <f>MIN(C18:C20)</f>
        <v>0.25</v>
      </c>
      <c r="D24" s="181">
        <f>MIN(D18:D20)</f>
        <v>0.5</v>
      </c>
      <c r="E24" s="181">
        <f t="shared" ref="E24:G24" si="0">MIN(E18:E20)</f>
        <v>0.25</v>
      </c>
      <c r="F24" s="181">
        <f t="shared" si="0"/>
        <v>0.1</v>
      </c>
      <c r="G24" s="142">
        <f t="shared" si="0"/>
        <v>0.5</v>
      </c>
      <c r="H24" s="143"/>
    </row>
    <row r="25" spans="2:9" ht="15.75" thickBot="1" x14ac:dyDescent="0.3">
      <c r="F25" s="180"/>
    </row>
    <row r="26" spans="2:9" ht="16.5" thickBot="1" x14ac:dyDescent="0.3">
      <c r="B26" t="s">
        <v>99</v>
      </c>
      <c r="C26" s="21" t="s">
        <v>20</v>
      </c>
      <c r="D26" s="22">
        <v>0.2</v>
      </c>
      <c r="F26" s="180" t="s">
        <v>141</v>
      </c>
      <c r="H26" s="83"/>
    </row>
    <row r="28" spans="2:9" x14ac:dyDescent="0.25">
      <c r="B28" s="207" t="s">
        <v>21</v>
      </c>
      <c r="C28" s="207"/>
      <c r="D28" s="207"/>
      <c r="E28" s="207"/>
      <c r="F28" s="207"/>
    </row>
    <row r="29" spans="2:9" ht="15.75" thickBot="1" x14ac:dyDescent="0.3"/>
    <row r="30" spans="2:9" ht="16.5" thickBot="1" x14ac:dyDescent="0.3">
      <c r="B30" s="177" t="s">
        <v>139</v>
      </c>
      <c r="C30" s="178" t="s">
        <v>123</v>
      </c>
      <c r="D30" s="178" t="s">
        <v>124</v>
      </c>
      <c r="E30" s="178" t="s">
        <v>125</v>
      </c>
      <c r="F30" s="178" t="s">
        <v>128</v>
      </c>
    </row>
    <row r="31" spans="2:9" ht="32.25" thickBot="1" x14ac:dyDescent="0.3">
      <c r="B31" s="179" t="s">
        <v>129</v>
      </c>
      <c r="C31" s="15" t="s">
        <v>130</v>
      </c>
      <c r="D31" s="15" t="s">
        <v>131</v>
      </c>
      <c r="E31" s="15" t="s">
        <v>132</v>
      </c>
      <c r="F31" s="15" t="s">
        <v>134</v>
      </c>
    </row>
    <row r="32" spans="2:9" ht="32.25" thickBot="1" x14ac:dyDescent="0.3">
      <c r="B32" s="179" t="s">
        <v>135</v>
      </c>
      <c r="C32" s="15" t="s">
        <v>132</v>
      </c>
      <c r="D32" s="15" t="s">
        <v>134</v>
      </c>
      <c r="E32" s="15" t="s">
        <v>131</v>
      </c>
      <c r="F32" s="15" t="s">
        <v>130</v>
      </c>
    </row>
    <row r="33" spans="2:6" ht="48" thickBot="1" x14ac:dyDescent="0.3">
      <c r="B33" s="179" t="s">
        <v>137</v>
      </c>
      <c r="C33" s="15">
        <v>2.5</v>
      </c>
      <c r="D33" s="15">
        <v>4</v>
      </c>
      <c r="E33" s="15">
        <v>3</v>
      </c>
      <c r="F33" s="15">
        <v>3.5</v>
      </c>
    </row>
    <row r="35" spans="2:6" ht="15.75" thickBot="1" x14ac:dyDescent="0.3">
      <c r="B35" s="182"/>
      <c r="C35" s="214" t="s">
        <v>142</v>
      </c>
      <c r="D35" s="214"/>
      <c r="E35" s="214"/>
    </row>
    <row r="36" spans="2:6" ht="16.5" thickBot="1" x14ac:dyDescent="0.3">
      <c r="B36" s="177" t="s">
        <v>139</v>
      </c>
      <c r="C36" s="178" t="s">
        <v>123</v>
      </c>
      <c r="D36" s="178" t="s">
        <v>124</v>
      </c>
      <c r="E36" s="178" t="s">
        <v>125</v>
      </c>
      <c r="F36" s="178" t="s">
        <v>128</v>
      </c>
    </row>
    <row r="37" spans="2:6" ht="32.25" thickBot="1" x14ac:dyDescent="0.3">
      <c r="B37" s="179" t="s">
        <v>129</v>
      </c>
      <c r="C37" s="16">
        <v>1</v>
      </c>
      <c r="D37" s="16">
        <v>0.75</v>
      </c>
      <c r="E37" s="16">
        <v>0.25</v>
      </c>
      <c r="F37" s="16">
        <v>0.5</v>
      </c>
    </row>
    <row r="38" spans="2:6" ht="32.25" thickBot="1" x14ac:dyDescent="0.3">
      <c r="B38" s="179" t="s">
        <v>135</v>
      </c>
      <c r="C38" s="16">
        <v>0.25</v>
      </c>
      <c r="D38" s="16">
        <v>0.5</v>
      </c>
      <c r="E38" s="16">
        <v>0.75</v>
      </c>
      <c r="F38" s="16">
        <v>1</v>
      </c>
    </row>
    <row r="39" spans="2:6" ht="48" thickBot="1" x14ac:dyDescent="0.3">
      <c r="B39" s="179" t="s">
        <v>137</v>
      </c>
      <c r="C39" s="16">
        <f>MIN(C33:F33)/C33</f>
        <v>1</v>
      </c>
      <c r="D39" s="16">
        <f>MIN(C33:F33)/D33</f>
        <v>0.625</v>
      </c>
      <c r="E39" s="16">
        <v>0.83</v>
      </c>
      <c r="F39" s="16">
        <f>MIN(C33:F33)/F33</f>
        <v>0.7142857142857143</v>
      </c>
    </row>
    <row r="40" spans="2:6" ht="15.75" x14ac:dyDescent="0.25">
      <c r="B40" s="144"/>
      <c r="C40" s="139"/>
      <c r="D40" s="11"/>
      <c r="E40" s="139"/>
      <c r="F40" s="11"/>
    </row>
    <row r="41" spans="2:6" ht="15.75" thickBot="1" x14ac:dyDescent="0.3">
      <c r="B41" s="209" t="s">
        <v>100</v>
      </c>
      <c r="C41" s="209"/>
      <c r="D41" s="11"/>
      <c r="E41" s="209" t="s">
        <v>101</v>
      </c>
      <c r="F41" s="209"/>
    </row>
    <row r="42" spans="2:6" x14ac:dyDescent="0.25">
      <c r="B42" s="30" t="s">
        <v>23</v>
      </c>
      <c r="C42" s="38">
        <f>(C37+D37+E37+F37)/4</f>
        <v>0.625</v>
      </c>
      <c r="D42" s="11"/>
      <c r="E42" s="41" t="s">
        <v>26</v>
      </c>
      <c r="F42" s="38">
        <f>(ABS(C37-C42)+ABS(D37-C42)+ABS(E37-C42)+ABS(F37-C42))/(C42*4)</f>
        <v>0.4</v>
      </c>
    </row>
    <row r="43" spans="2:6" x14ac:dyDescent="0.25">
      <c r="B43" s="31" t="s">
        <v>24</v>
      </c>
      <c r="C43" s="39">
        <f>(C38+D38+E38+F38)/4</f>
        <v>0.625</v>
      </c>
      <c r="D43" s="11"/>
      <c r="E43" s="42" t="s">
        <v>27</v>
      </c>
      <c r="F43" s="39">
        <f>(ABS(C38-C43)+ABS(D38-C43)+ABS(E38-C43)+ABS(F38-C43))/(C43*4)</f>
        <v>0.4</v>
      </c>
    </row>
    <row r="44" spans="2:6" ht="15.75" thickBot="1" x14ac:dyDescent="0.3">
      <c r="B44" s="33" t="s">
        <v>25</v>
      </c>
      <c r="C44" s="40">
        <f>(C39+D39+E39+F39)/4</f>
        <v>0.79232142857142862</v>
      </c>
      <c r="D44" s="11"/>
      <c r="E44" s="43" t="s">
        <v>28</v>
      </c>
      <c r="F44" s="40">
        <f>(ABS(C39-C44)+ABS(D39-C44)+ABS(E39-C44)+ABS(F39-C44))/(C44*4)</f>
        <v>0.15483434753211628</v>
      </c>
    </row>
    <row r="45" spans="2:6" x14ac:dyDescent="0.25">
      <c r="B45" s="145"/>
      <c r="C45" s="146"/>
      <c r="D45" s="11"/>
      <c r="E45" s="146"/>
      <c r="F45" s="146"/>
    </row>
    <row r="46" spans="2:6" ht="15.75" thickBot="1" x14ac:dyDescent="0.3">
      <c r="B46" s="209" t="s">
        <v>102</v>
      </c>
      <c r="C46" s="209"/>
      <c r="D46" s="11"/>
      <c r="E46" s="209" t="s">
        <v>103</v>
      </c>
      <c r="F46" s="209"/>
    </row>
    <row r="47" spans="2:6" ht="15.75" thickBot="1" x14ac:dyDescent="0.3">
      <c r="B47" s="45" t="s">
        <v>29</v>
      </c>
      <c r="C47" s="46">
        <f>SUM(F42:F44)</f>
        <v>0.95483434753211638</v>
      </c>
      <c r="D47" s="11"/>
      <c r="E47" s="49" t="s">
        <v>30</v>
      </c>
      <c r="F47" s="35">
        <f>F42/C47</f>
        <v>0.41892083274323749</v>
      </c>
    </row>
    <row r="48" spans="2:6" x14ac:dyDescent="0.25">
      <c r="B48" s="11"/>
      <c r="C48" s="11"/>
      <c r="D48" s="11"/>
      <c r="E48" s="50" t="s">
        <v>31</v>
      </c>
      <c r="F48" s="36">
        <f>F43/C47</f>
        <v>0.41892083274323749</v>
      </c>
    </row>
    <row r="49" spans="2:6" ht="15.75" thickBot="1" x14ac:dyDescent="0.3">
      <c r="B49" s="11"/>
      <c r="C49" s="11"/>
      <c r="D49" s="11"/>
      <c r="E49" s="51" t="s">
        <v>32</v>
      </c>
      <c r="F49" s="37">
        <f>F44/C47</f>
        <v>0.16215833451352496</v>
      </c>
    </row>
    <row r="50" spans="2:6" x14ac:dyDescent="0.25">
      <c r="B50" s="11"/>
      <c r="C50" s="11"/>
      <c r="D50" s="11"/>
      <c r="E50" s="11"/>
      <c r="F50" s="11"/>
    </row>
    <row r="51" spans="2:6" ht="15.75" thickBot="1" x14ac:dyDescent="0.3">
      <c r="B51" s="197" t="s">
        <v>143</v>
      </c>
      <c r="C51" s="197"/>
      <c r="D51" s="197"/>
      <c r="E51" s="197"/>
      <c r="F51" s="11"/>
    </row>
    <row r="52" spans="2:6" ht="16.5" thickBot="1" x14ac:dyDescent="0.3">
      <c r="B52" s="177" t="s">
        <v>139</v>
      </c>
      <c r="C52" s="177" t="s">
        <v>123</v>
      </c>
      <c r="D52" s="178" t="s">
        <v>124</v>
      </c>
      <c r="E52" s="178" t="s">
        <v>125</v>
      </c>
      <c r="F52" s="178" t="s">
        <v>128</v>
      </c>
    </row>
    <row r="53" spans="2:6" ht="32.25" thickBot="1" x14ac:dyDescent="0.3">
      <c r="B53" s="179" t="s">
        <v>129</v>
      </c>
      <c r="C53" s="26">
        <f>$F$47/C37</f>
        <v>0.41892083274323749</v>
      </c>
      <c r="D53" s="26">
        <f t="shared" ref="D53:F53" si="1">$F$47/D37</f>
        <v>0.55856111032431666</v>
      </c>
      <c r="E53" s="26">
        <f t="shared" si="1"/>
        <v>1.67568333097295</v>
      </c>
      <c r="F53" s="26">
        <f t="shared" si="1"/>
        <v>0.83784166548647498</v>
      </c>
    </row>
    <row r="54" spans="2:6" ht="32.25" thickBot="1" x14ac:dyDescent="0.3">
      <c r="B54" s="179" t="s">
        <v>135</v>
      </c>
      <c r="C54" s="26">
        <f>$F$48/C38</f>
        <v>1.67568333097295</v>
      </c>
      <c r="D54" s="26">
        <f t="shared" ref="D54:F54" si="2">$F$48/D38</f>
        <v>0.83784166548647498</v>
      </c>
      <c r="E54" s="26">
        <f t="shared" si="2"/>
        <v>0.55856111032431666</v>
      </c>
      <c r="F54" s="26">
        <f t="shared" si="2"/>
        <v>0.41892083274323749</v>
      </c>
    </row>
    <row r="55" spans="2:6" ht="48" thickBot="1" x14ac:dyDescent="0.3">
      <c r="B55" s="179" t="s">
        <v>137</v>
      </c>
      <c r="C55" s="26">
        <f>$F$49/C39</f>
        <v>0.16215833451352496</v>
      </c>
      <c r="D55" s="26">
        <f t="shared" ref="D55:F55" si="3">$F$49/D39</f>
        <v>0.25945333522163994</v>
      </c>
      <c r="E55" s="26">
        <f t="shared" si="3"/>
        <v>0.19537148736569274</v>
      </c>
      <c r="F55" s="26">
        <f t="shared" si="3"/>
        <v>0.22702166831893494</v>
      </c>
    </row>
    <row r="56" spans="2:6" ht="15.75" x14ac:dyDescent="0.25">
      <c r="B56" s="141"/>
      <c r="C56" s="183"/>
      <c r="D56" s="183"/>
      <c r="E56" s="183"/>
      <c r="F56" s="183"/>
    </row>
    <row r="57" spans="2:6" ht="15.75" thickBot="1" x14ac:dyDescent="0.3">
      <c r="B57" s="209" t="s">
        <v>144</v>
      </c>
      <c r="C57" s="209"/>
    </row>
    <row r="58" spans="2:6" x14ac:dyDescent="0.25">
      <c r="B58" s="30" t="s">
        <v>34</v>
      </c>
      <c r="C58" s="184">
        <f>SUM(C53:C55)</f>
        <v>2.2567624982297128</v>
      </c>
    </row>
    <row r="59" spans="2:6" x14ac:dyDescent="0.25">
      <c r="B59" s="31" t="s">
        <v>35</v>
      </c>
      <c r="C59" s="148">
        <f>SUM(D53:D55)</f>
        <v>1.6558561110324317</v>
      </c>
    </row>
    <row r="60" spans="2:6" ht="15.75" thickBot="1" x14ac:dyDescent="0.3">
      <c r="B60" s="33" t="s">
        <v>36</v>
      </c>
      <c r="C60" s="185">
        <f>SUM(E53:E55)</f>
        <v>2.4296159286629595</v>
      </c>
    </row>
    <row r="61" spans="2:6" ht="15.75" thickBot="1" x14ac:dyDescent="0.3">
      <c r="B61" s="33" t="s">
        <v>145</v>
      </c>
      <c r="C61" s="147">
        <f>SUM(F53:F55)</f>
        <v>1.4837841665486475</v>
      </c>
      <c r="D61" s="11"/>
    </row>
    <row r="62" spans="2:6" x14ac:dyDescent="0.25">
      <c r="B62" s="210" t="s">
        <v>104</v>
      </c>
      <c r="C62" s="210"/>
    </row>
    <row r="64" spans="2:6" x14ac:dyDescent="0.25">
      <c r="B64" s="207" t="s">
        <v>105</v>
      </c>
      <c r="C64" s="207"/>
      <c r="D64" s="207"/>
      <c r="E64" s="11"/>
      <c r="F64" s="11"/>
    </row>
    <row r="65" spans="2:8" ht="15.75" thickBot="1" x14ac:dyDescent="0.3">
      <c r="G65" s="11"/>
    </row>
    <row r="66" spans="2:8" ht="16.5" thickBot="1" x14ac:dyDescent="0.3">
      <c r="B66" s="177" t="s">
        <v>139</v>
      </c>
      <c r="C66" s="177" t="s">
        <v>124</v>
      </c>
      <c r="D66" s="177" t="s">
        <v>128</v>
      </c>
    </row>
    <row r="67" spans="2:8" ht="32.25" thickBot="1" x14ac:dyDescent="0.3">
      <c r="B67" s="179" t="s">
        <v>129</v>
      </c>
      <c r="C67" s="179" t="s">
        <v>131</v>
      </c>
      <c r="D67" s="179" t="s">
        <v>134</v>
      </c>
      <c r="H67" s="11"/>
    </row>
    <row r="68" spans="2:8" ht="32.25" thickBot="1" x14ac:dyDescent="0.3">
      <c r="B68" s="179" t="s">
        <v>135</v>
      </c>
      <c r="C68" s="179" t="s">
        <v>134</v>
      </c>
      <c r="D68" s="179" t="s">
        <v>130</v>
      </c>
    </row>
    <row r="69" spans="2:8" ht="48" thickBot="1" x14ac:dyDescent="0.3">
      <c r="B69" s="179" t="s">
        <v>137</v>
      </c>
      <c r="C69" s="179">
        <v>4</v>
      </c>
      <c r="D69" s="179">
        <v>3.5</v>
      </c>
    </row>
    <row r="71" spans="2:8" ht="15.75" thickBot="1" x14ac:dyDescent="0.3">
      <c r="B71" s="209" t="s">
        <v>146</v>
      </c>
      <c r="C71" s="209"/>
      <c r="D71" s="209"/>
    </row>
    <row r="72" spans="2:8" ht="16.5" thickBot="1" x14ac:dyDescent="0.3">
      <c r="B72" s="177" t="s">
        <v>139</v>
      </c>
      <c r="C72" s="177" t="s">
        <v>124</v>
      </c>
      <c r="D72" s="177" t="s">
        <v>128</v>
      </c>
      <c r="E72" s="11" t="s">
        <v>106</v>
      </c>
    </row>
    <row r="73" spans="2:8" ht="32.25" thickBot="1" x14ac:dyDescent="0.3">
      <c r="B73" s="179" t="s">
        <v>129</v>
      </c>
      <c r="C73" s="12">
        <v>0.8</v>
      </c>
      <c r="D73" s="12">
        <v>0.5</v>
      </c>
      <c r="E73" s="17">
        <v>2</v>
      </c>
    </row>
    <row r="74" spans="2:8" ht="32.25" thickBot="1" x14ac:dyDescent="0.3">
      <c r="B74" s="179" t="s">
        <v>135</v>
      </c>
      <c r="C74" s="149">
        <v>0.5</v>
      </c>
      <c r="D74" s="149">
        <v>1</v>
      </c>
      <c r="E74" s="17">
        <v>3</v>
      </c>
    </row>
    <row r="75" spans="2:8" ht="48" thickBot="1" x14ac:dyDescent="0.3">
      <c r="B75" s="179" t="s">
        <v>137</v>
      </c>
      <c r="C75" s="26">
        <v>0.26</v>
      </c>
      <c r="D75" s="179">
        <v>0.23</v>
      </c>
      <c r="E75" s="17">
        <v>1</v>
      </c>
    </row>
    <row r="77" spans="2:8" ht="15.75" thickBot="1" x14ac:dyDescent="0.3">
      <c r="B77" s="209" t="s">
        <v>147</v>
      </c>
      <c r="C77" s="209"/>
    </row>
    <row r="78" spans="2:8" x14ac:dyDescent="0.25">
      <c r="B78" s="27" t="s">
        <v>38</v>
      </c>
      <c r="C78" s="60">
        <f>MAX(E73:E75) + 1 - E73</f>
        <v>2</v>
      </c>
    </row>
    <row r="79" spans="2:8" x14ac:dyDescent="0.25">
      <c r="B79" s="28" t="s">
        <v>39</v>
      </c>
      <c r="C79" s="54">
        <f>MAX(E73:E75)+1-E74</f>
        <v>1</v>
      </c>
    </row>
    <row r="80" spans="2:8" ht="15.75" thickBot="1" x14ac:dyDescent="0.3">
      <c r="B80" s="29" t="s">
        <v>40</v>
      </c>
      <c r="C80" s="55">
        <f>MAX(E73:E75)+1-E75</f>
        <v>3</v>
      </c>
    </row>
    <row r="81" spans="2:4" x14ac:dyDescent="0.25">
      <c r="B81" s="17"/>
      <c r="C81" s="17"/>
    </row>
    <row r="82" spans="2:4" ht="15.75" thickBot="1" x14ac:dyDescent="0.3">
      <c r="B82" s="214" t="s">
        <v>148</v>
      </c>
      <c r="C82" s="214"/>
    </row>
    <row r="83" spans="2:4" x14ac:dyDescent="0.25">
      <c r="B83" s="30" t="s">
        <v>42</v>
      </c>
      <c r="C83" s="38">
        <f>MAX(C73:D73)/MIN(C73:D73)</f>
        <v>1.6</v>
      </c>
    </row>
    <row r="84" spans="2:4" x14ac:dyDescent="0.25">
      <c r="B84" s="31" t="s">
        <v>107</v>
      </c>
      <c r="C84" s="39">
        <f>MAX(C74:D74)/MIN(C74:D74)</f>
        <v>2</v>
      </c>
    </row>
    <row r="85" spans="2:4" ht="15.75" thickBot="1" x14ac:dyDescent="0.3">
      <c r="B85" s="33" t="s">
        <v>43</v>
      </c>
      <c r="C85" s="40">
        <f>MAX(C75:D75)/MIN(C75:D75)</f>
        <v>1.1304347826086956</v>
      </c>
    </row>
    <row r="86" spans="2:4" x14ac:dyDescent="0.25">
      <c r="B86" s="17"/>
      <c r="C86" s="17"/>
    </row>
    <row r="87" spans="2:4" ht="15.75" thickBot="1" x14ac:dyDescent="0.3">
      <c r="B87" s="214" t="s">
        <v>149</v>
      </c>
      <c r="C87" s="214"/>
    </row>
    <row r="88" spans="2:4" x14ac:dyDescent="0.25">
      <c r="B88" s="41" t="s">
        <v>45</v>
      </c>
      <c r="C88" s="38">
        <f>POWER(C83, C78)</f>
        <v>2.5600000000000005</v>
      </c>
    </row>
    <row r="89" spans="2:4" x14ac:dyDescent="0.25">
      <c r="B89" s="42" t="s">
        <v>108</v>
      </c>
      <c r="C89" s="39">
        <f>POWER(C84,C79)</f>
        <v>2</v>
      </c>
    </row>
    <row r="90" spans="2:4" ht="15.75" thickBot="1" x14ac:dyDescent="0.3">
      <c r="B90" s="43" t="s">
        <v>46</v>
      </c>
      <c r="C90" s="40">
        <f>POWER(C85,C80)</f>
        <v>1.4445631626530777</v>
      </c>
    </row>
    <row r="92" spans="2:4" ht="15.75" thickBot="1" x14ac:dyDescent="0.3"/>
    <row r="93" spans="2:4" x14ac:dyDescent="0.25">
      <c r="B93" s="59" t="s">
        <v>122</v>
      </c>
      <c r="C93" s="38">
        <f>C88</f>
        <v>2.5600000000000005</v>
      </c>
      <c r="D93" t="s">
        <v>150</v>
      </c>
    </row>
    <row r="94" spans="2:4" ht="15.75" thickBot="1" x14ac:dyDescent="0.3">
      <c r="B94" s="57" t="s">
        <v>48</v>
      </c>
      <c r="C94" s="40">
        <f>C89*C90</f>
        <v>2.8891263253061554</v>
      </c>
      <c r="D94" t="s">
        <v>151</v>
      </c>
    </row>
    <row r="96" spans="2:4" ht="15.75" thickBot="1" x14ac:dyDescent="0.3">
      <c r="B96" s="209" t="s">
        <v>53</v>
      </c>
      <c r="C96" s="209"/>
    </row>
    <row r="97" spans="1:9" ht="15.75" thickBot="1" x14ac:dyDescent="0.3">
      <c r="B97" s="150" t="s">
        <v>52</v>
      </c>
      <c r="C97" s="151">
        <f>C93/C94</f>
        <v>0.88608101957214414</v>
      </c>
    </row>
    <row r="98" spans="1:9" x14ac:dyDescent="0.25">
      <c r="B98" s="152"/>
      <c r="C98" s="152"/>
    </row>
    <row r="99" spans="1:9" x14ac:dyDescent="0.25">
      <c r="B99" s="197" t="s">
        <v>152</v>
      </c>
      <c r="C99" s="197"/>
    </row>
    <row r="100" spans="1:9" x14ac:dyDescent="0.25">
      <c r="F100" s="160"/>
      <c r="G100" s="160"/>
      <c r="H100" s="160"/>
      <c r="I100" s="160"/>
    </row>
    <row r="102" spans="1:9" x14ac:dyDescent="0.25">
      <c r="A102" s="186"/>
      <c r="B102" s="186"/>
      <c r="C102" s="186"/>
      <c r="D102" s="186"/>
      <c r="E102" s="186"/>
      <c r="F102" s="186"/>
      <c r="G102" s="186"/>
      <c r="H102" s="186"/>
      <c r="I102" s="186"/>
    </row>
    <row r="103" spans="1:9" x14ac:dyDescent="0.25">
      <c r="A103" s="186"/>
      <c r="B103" s="186"/>
      <c r="C103" s="186"/>
      <c r="D103" s="186"/>
      <c r="E103" s="186"/>
      <c r="F103" s="186"/>
      <c r="G103" s="186"/>
      <c r="H103" s="186"/>
      <c r="I103" s="186"/>
    </row>
    <row r="104" spans="1:9" x14ac:dyDescent="0.25">
      <c r="A104" s="186"/>
      <c r="B104" s="186"/>
      <c r="C104" s="186"/>
      <c r="D104" s="186"/>
      <c r="E104" s="186"/>
      <c r="F104" s="186"/>
      <c r="G104" s="186"/>
      <c r="H104" s="186"/>
      <c r="I104" s="186"/>
    </row>
    <row r="106" spans="1:9" x14ac:dyDescent="0.25">
      <c r="A106" s="160"/>
      <c r="B106" s="160"/>
      <c r="C106" s="160"/>
      <c r="D106" s="160"/>
      <c r="E106" s="160"/>
    </row>
    <row r="107" spans="1:9" x14ac:dyDescent="0.25">
      <c r="B107" s="207" t="s">
        <v>54</v>
      </c>
      <c r="C107" s="207"/>
      <c r="D107" s="207"/>
      <c r="E107" s="207"/>
    </row>
    <row r="108" spans="1:9" x14ac:dyDescent="0.25">
      <c r="B108" s="153"/>
      <c r="C108" s="153"/>
      <c r="D108" s="153"/>
      <c r="E108" s="153"/>
    </row>
    <row r="109" spans="1:9" ht="15.75" thickBot="1" x14ac:dyDescent="0.3">
      <c r="B109" s="209" t="s">
        <v>109</v>
      </c>
      <c r="C109" s="209"/>
      <c r="D109" s="209"/>
      <c r="E109" s="209"/>
    </row>
    <row r="110" spans="1:9" x14ac:dyDescent="0.25">
      <c r="B110" s="201" t="s">
        <v>55</v>
      </c>
      <c r="C110" s="211" t="s">
        <v>56</v>
      </c>
      <c r="D110" s="212"/>
      <c r="E110" s="213"/>
    </row>
    <row r="111" spans="1:9" x14ac:dyDescent="0.25">
      <c r="B111" s="202"/>
      <c r="C111" s="61" t="s">
        <v>64</v>
      </c>
      <c r="D111" s="61" t="s">
        <v>65</v>
      </c>
      <c r="E111" s="54" t="s">
        <v>66</v>
      </c>
    </row>
    <row r="112" spans="1:9" x14ac:dyDescent="0.25">
      <c r="B112" s="62">
        <v>1</v>
      </c>
      <c r="C112" s="61">
        <v>8</v>
      </c>
      <c r="D112" s="61">
        <v>7</v>
      </c>
      <c r="E112" s="54">
        <v>10</v>
      </c>
    </row>
    <row r="113" spans="2:8" ht="15.75" thickBot="1" x14ac:dyDescent="0.3">
      <c r="B113" s="57">
        <v>2</v>
      </c>
      <c r="C113" s="63">
        <v>10</v>
      </c>
      <c r="D113" s="63">
        <v>5</v>
      </c>
      <c r="E113" s="55">
        <v>9</v>
      </c>
    </row>
    <row r="114" spans="2:8" ht="15.75" thickBot="1" x14ac:dyDescent="0.3"/>
    <row r="115" spans="2:8" x14ac:dyDescent="0.25">
      <c r="B115" s="59" t="s">
        <v>45</v>
      </c>
      <c r="C115" s="60">
        <f>SUM(C112:C113)</f>
        <v>18</v>
      </c>
      <c r="E115" t="s">
        <v>61</v>
      </c>
    </row>
    <row r="116" spans="2:8" x14ac:dyDescent="0.25">
      <c r="B116" s="62" t="s">
        <v>60</v>
      </c>
      <c r="C116" s="54">
        <f>SUM(D112:D113)</f>
        <v>12</v>
      </c>
    </row>
    <row r="117" spans="2:8" ht="15.75" thickBot="1" x14ac:dyDescent="0.3">
      <c r="B117" s="57" t="s">
        <v>46</v>
      </c>
      <c r="C117" s="55">
        <f>SUM(E112:E113)</f>
        <v>19</v>
      </c>
    </row>
    <row r="118" spans="2:8" ht="15.75" thickBot="1" x14ac:dyDescent="0.3">
      <c r="B118" s="187" t="s">
        <v>62</v>
      </c>
      <c r="C118" s="188">
        <f>SUM(C115:C117)</f>
        <v>49</v>
      </c>
    </row>
    <row r="119" spans="2:8" ht="15.75" thickBot="1" x14ac:dyDescent="0.3"/>
    <row r="120" spans="2:8" x14ac:dyDescent="0.25">
      <c r="B120" s="189" t="s">
        <v>38</v>
      </c>
      <c r="C120" s="190">
        <f>C115/C118</f>
        <v>0.36734693877551022</v>
      </c>
      <c r="E120" t="s">
        <v>110</v>
      </c>
    </row>
    <row r="121" spans="2:8" x14ac:dyDescent="0.25">
      <c r="B121" s="47" t="s">
        <v>39</v>
      </c>
      <c r="C121" s="32">
        <f>C116/C118</f>
        <v>0.24489795918367346</v>
      </c>
    </row>
    <row r="122" spans="2:8" ht="15.75" thickBot="1" x14ac:dyDescent="0.3">
      <c r="B122" s="154" t="s">
        <v>40</v>
      </c>
      <c r="C122" s="155">
        <f>C117/C118</f>
        <v>0.38775510204081631</v>
      </c>
    </row>
    <row r="125" spans="2:8" x14ac:dyDescent="0.25">
      <c r="B125" s="207" t="s">
        <v>63</v>
      </c>
      <c r="C125" s="207"/>
      <c r="D125" s="207"/>
      <c r="E125" s="207"/>
      <c r="F125" s="207"/>
      <c r="G125" s="207"/>
      <c r="H125" s="156"/>
    </row>
    <row r="126" spans="2:8" ht="15.75" thickBot="1" x14ac:dyDescent="0.3"/>
    <row r="127" spans="2:8" ht="15.75" thickBot="1" x14ac:dyDescent="0.3">
      <c r="B127" s="12" t="s">
        <v>139</v>
      </c>
      <c r="C127" s="191" t="s">
        <v>123</v>
      </c>
      <c r="D127" s="191" t="s">
        <v>124</v>
      </c>
      <c r="E127" s="191" t="s">
        <v>125</v>
      </c>
      <c r="F127" s="191" t="s">
        <v>126</v>
      </c>
      <c r="G127" s="191" t="s">
        <v>128</v>
      </c>
    </row>
    <row r="128" spans="2:8" ht="30.75" thickBot="1" x14ac:dyDescent="0.3">
      <c r="B128" s="192" t="s">
        <v>129</v>
      </c>
      <c r="C128" s="5" t="s">
        <v>130</v>
      </c>
      <c r="D128" s="5" t="s">
        <v>131</v>
      </c>
      <c r="E128" s="5" t="s">
        <v>132</v>
      </c>
      <c r="F128" s="5" t="s">
        <v>130</v>
      </c>
      <c r="G128" s="5" t="s">
        <v>134</v>
      </c>
    </row>
    <row r="129" spans="2:7" ht="30.75" thickBot="1" x14ac:dyDescent="0.3">
      <c r="B129" s="192" t="s">
        <v>135</v>
      </c>
      <c r="C129" s="5" t="s">
        <v>132</v>
      </c>
      <c r="D129" s="5" t="s">
        <v>134</v>
      </c>
      <c r="E129" s="5" t="s">
        <v>131</v>
      </c>
      <c r="F129" s="5" t="s">
        <v>136</v>
      </c>
      <c r="G129" s="5" t="s">
        <v>130</v>
      </c>
    </row>
    <row r="130" spans="2:7" ht="49.15" customHeight="1" thickBot="1" x14ac:dyDescent="0.3">
      <c r="B130" s="192" t="s">
        <v>137</v>
      </c>
      <c r="C130" s="5">
        <v>2.5</v>
      </c>
      <c r="D130" s="5">
        <v>4</v>
      </c>
      <c r="E130" s="5">
        <v>3</v>
      </c>
      <c r="F130" s="5">
        <v>2</v>
      </c>
      <c r="G130" s="5">
        <v>3.5</v>
      </c>
    </row>
    <row r="132" spans="2:7" ht="15.75" thickBot="1" x14ac:dyDescent="0.3">
      <c r="B132" s="206" t="s">
        <v>112</v>
      </c>
      <c r="C132" s="206"/>
      <c r="D132" s="206"/>
      <c r="E132" s="206"/>
      <c r="F132" s="206"/>
      <c r="G132" s="206"/>
    </row>
    <row r="133" spans="2:7" ht="16.5" thickTop="1" thickBot="1" x14ac:dyDescent="0.3">
      <c r="B133" s="71"/>
      <c r="C133" s="191" t="s">
        <v>123</v>
      </c>
      <c r="D133" s="191" t="s">
        <v>124</v>
      </c>
      <c r="E133" s="191" t="s">
        <v>125</v>
      </c>
      <c r="F133" s="191" t="s">
        <v>126</v>
      </c>
      <c r="G133" s="191" t="s">
        <v>128</v>
      </c>
    </row>
    <row r="134" spans="2:7" x14ac:dyDescent="0.25">
      <c r="B134" s="75" t="s">
        <v>64</v>
      </c>
      <c r="C134" s="68">
        <v>1</v>
      </c>
      <c r="D134" s="68">
        <v>2</v>
      </c>
      <c r="E134" s="68">
        <v>4</v>
      </c>
      <c r="F134" s="68">
        <v>1</v>
      </c>
      <c r="G134" s="76">
        <v>3</v>
      </c>
    </row>
    <row r="135" spans="2:7" x14ac:dyDescent="0.25">
      <c r="B135" s="77" t="s">
        <v>65</v>
      </c>
      <c r="C135" s="70">
        <v>4</v>
      </c>
      <c r="D135" s="70">
        <v>3</v>
      </c>
      <c r="E135" s="70">
        <v>2</v>
      </c>
      <c r="F135" s="70">
        <v>5</v>
      </c>
      <c r="G135" s="78">
        <v>1</v>
      </c>
    </row>
    <row r="136" spans="2:7" ht="15.75" thickBot="1" x14ac:dyDescent="0.3">
      <c r="B136" s="79" t="s">
        <v>66</v>
      </c>
      <c r="C136" s="81">
        <v>2</v>
      </c>
      <c r="D136" s="81">
        <v>5</v>
      </c>
      <c r="E136" s="81">
        <v>3</v>
      </c>
      <c r="F136" s="81">
        <v>1</v>
      </c>
      <c r="G136" s="82">
        <v>4</v>
      </c>
    </row>
    <row r="137" spans="2:7" ht="15.75" thickTop="1" x14ac:dyDescent="0.25"/>
    <row r="138" spans="2:7" ht="15.75" thickBot="1" x14ac:dyDescent="0.3">
      <c r="B138" s="206" t="s">
        <v>113</v>
      </c>
      <c r="C138" s="206"/>
      <c r="D138" s="206"/>
      <c r="E138" s="206"/>
      <c r="F138" s="206"/>
      <c r="G138" s="206"/>
    </row>
    <row r="139" spans="2:7" ht="16.5" thickTop="1" thickBot="1" x14ac:dyDescent="0.3">
      <c r="B139" s="84" t="s">
        <v>64</v>
      </c>
      <c r="C139" s="191" t="s">
        <v>123</v>
      </c>
      <c r="D139" s="191" t="s">
        <v>124</v>
      </c>
      <c r="E139" s="191" t="s">
        <v>125</v>
      </c>
      <c r="F139" s="191" t="s">
        <v>126</v>
      </c>
      <c r="G139" s="191" t="s">
        <v>128</v>
      </c>
    </row>
    <row r="140" spans="2:7" x14ac:dyDescent="0.25">
      <c r="B140" s="89" t="s">
        <v>123</v>
      </c>
      <c r="C140" s="95" t="s">
        <v>153</v>
      </c>
      <c r="D140" s="95">
        <v>1</v>
      </c>
      <c r="E140" s="95">
        <v>1</v>
      </c>
      <c r="F140" s="95">
        <v>0</v>
      </c>
      <c r="G140" s="78">
        <v>1</v>
      </c>
    </row>
    <row r="141" spans="2:7" x14ac:dyDescent="0.25">
      <c r="B141" s="89" t="s">
        <v>124</v>
      </c>
      <c r="C141" s="95">
        <v>-1</v>
      </c>
      <c r="D141" s="95" t="s">
        <v>153</v>
      </c>
      <c r="E141" s="95">
        <v>1</v>
      </c>
      <c r="F141" s="95">
        <v>-1</v>
      </c>
      <c r="G141" s="78">
        <v>1</v>
      </c>
    </row>
    <row r="142" spans="2:7" x14ac:dyDescent="0.25">
      <c r="B142" s="89" t="s">
        <v>125</v>
      </c>
      <c r="C142" s="95">
        <v>-1</v>
      </c>
      <c r="D142" s="95">
        <v>-1</v>
      </c>
      <c r="E142" s="95" t="s">
        <v>153</v>
      </c>
      <c r="F142" s="95">
        <v>-1</v>
      </c>
      <c r="G142" s="78">
        <v>-1</v>
      </c>
    </row>
    <row r="143" spans="2:7" x14ac:dyDescent="0.25">
      <c r="B143" s="89" t="s">
        <v>126</v>
      </c>
      <c r="C143" s="95">
        <v>0</v>
      </c>
      <c r="D143" s="95">
        <v>1</v>
      </c>
      <c r="E143" s="95">
        <v>1</v>
      </c>
      <c r="F143" s="95" t="s">
        <v>153</v>
      </c>
      <c r="G143" s="78">
        <v>1</v>
      </c>
    </row>
    <row r="144" spans="2:7" ht="15.75" thickBot="1" x14ac:dyDescent="0.3">
      <c r="B144" s="90" t="s">
        <v>128</v>
      </c>
      <c r="C144" s="97">
        <v>-1</v>
      </c>
      <c r="D144" s="97">
        <v>-1</v>
      </c>
      <c r="E144" s="97">
        <v>1</v>
      </c>
      <c r="F144" s="97">
        <v>-1</v>
      </c>
      <c r="G144" s="82" t="s">
        <v>153</v>
      </c>
    </row>
    <row r="145" spans="2:9" ht="15.75" thickTop="1" x14ac:dyDescent="0.25">
      <c r="B145" s="119"/>
      <c r="C145" s="157"/>
      <c r="D145" s="157"/>
      <c r="E145" s="157"/>
      <c r="F145" s="157"/>
      <c r="G145" s="157"/>
    </row>
    <row r="146" spans="2:9" ht="15.75" thickBot="1" x14ac:dyDescent="0.3">
      <c r="B146" s="206" t="s">
        <v>114</v>
      </c>
      <c r="C146" s="206"/>
      <c r="D146" s="206"/>
      <c r="E146" s="206"/>
      <c r="F146" s="206"/>
      <c r="G146" s="206"/>
    </row>
    <row r="147" spans="2:9" ht="16.5" thickTop="1" thickBot="1" x14ac:dyDescent="0.3">
      <c r="B147" s="84" t="s">
        <v>65</v>
      </c>
      <c r="C147" s="191" t="s">
        <v>123</v>
      </c>
      <c r="D147" s="191" t="s">
        <v>124</v>
      </c>
      <c r="E147" s="191" t="s">
        <v>125</v>
      </c>
      <c r="F147" s="191" t="s">
        <v>126</v>
      </c>
      <c r="G147" s="191" t="s">
        <v>128</v>
      </c>
    </row>
    <row r="148" spans="2:9" x14ac:dyDescent="0.25">
      <c r="B148" s="89" t="s">
        <v>123</v>
      </c>
      <c r="C148" s="95" t="s">
        <v>153</v>
      </c>
      <c r="D148" s="95">
        <v>-1</v>
      </c>
      <c r="E148" s="95">
        <v>-1</v>
      </c>
      <c r="F148" s="95">
        <v>1</v>
      </c>
      <c r="G148" s="78">
        <v>-1</v>
      </c>
    </row>
    <row r="149" spans="2:9" x14ac:dyDescent="0.25">
      <c r="B149" s="89" t="s">
        <v>124</v>
      </c>
      <c r="C149" s="95">
        <v>1</v>
      </c>
      <c r="D149" s="95" t="s">
        <v>153</v>
      </c>
      <c r="E149" s="95">
        <v>-1</v>
      </c>
      <c r="F149" s="95">
        <v>1</v>
      </c>
      <c r="G149" s="78">
        <v>-1</v>
      </c>
    </row>
    <row r="150" spans="2:9" x14ac:dyDescent="0.25">
      <c r="B150" s="89" t="s">
        <v>125</v>
      </c>
      <c r="C150" s="95">
        <v>1</v>
      </c>
      <c r="D150" s="95">
        <v>1</v>
      </c>
      <c r="E150" s="95" t="s">
        <v>153</v>
      </c>
      <c r="F150" s="95">
        <v>1</v>
      </c>
      <c r="G150" s="78">
        <v>-1</v>
      </c>
    </row>
    <row r="151" spans="2:9" x14ac:dyDescent="0.25">
      <c r="B151" s="89" t="s">
        <v>126</v>
      </c>
      <c r="C151" s="95">
        <v>-1</v>
      </c>
      <c r="D151" s="95">
        <v>-1</v>
      </c>
      <c r="E151" s="95">
        <v>-1</v>
      </c>
      <c r="F151" s="95" t="s">
        <v>153</v>
      </c>
      <c r="G151" s="78">
        <v>-1</v>
      </c>
    </row>
    <row r="152" spans="2:9" ht="15.75" thickBot="1" x14ac:dyDescent="0.3">
      <c r="B152" s="90" t="s">
        <v>128</v>
      </c>
      <c r="C152" s="97">
        <v>1</v>
      </c>
      <c r="D152" s="97">
        <v>1</v>
      </c>
      <c r="E152" s="97">
        <v>1</v>
      </c>
      <c r="F152" s="97">
        <v>1</v>
      </c>
      <c r="G152" s="82" t="s">
        <v>153</v>
      </c>
    </row>
    <row r="153" spans="2:9" ht="15.75" thickTop="1" x14ac:dyDescent="0.25"/>
    <row r="154" spans="2:9" ht="15.75" thickBot="1" x14ac:dyDescent="0.3">
      <c r="B154" s="206" t="s">
        <v>115</v>
      </c>
      <c r="C154" s="206"/>
      <c r="D154" s="206"/>
      <c r="E154" s="206"/>
      <c r="F154" s="206"/>
      <c r="G154" s="206"/>
    </row>
    <row r="155" spans="2:9" ht="16.5" thickTop="1" thickBot="1" x14ac:dyDescent="0.3">
      <c r="B155" s="84" t="s">
        <v>66</v>
      </c>
      <c r="C155" s="191" t="s">
        <v>123</v>
      </c>
      <c r="D155" s="191" t="s">
        <v>124</v>
      </c>
      <c r="E155" s="191" t="s">
        <v>125</v>
      </c>
      <c r="F155" s="191" t="s">
        <v>126</v>
      </c>
      <c r="G155" s="191" t="s">
        <v>128</v>
      </c>
    </row>
    <row r="156" spans="2:9" x14ac:dyDescent="0.25">
      <c r="B156" s="89" t="s">
        <v>123</v>
      </c>
      <c r="C156" s="95" t="s">
        <v>153</v>
      </c>
      <c r="D156" s="95">
        <v>1</v>
      </c>
      <c r="E156" s="95">
        <v>1</v>
      </c>
      <c r="F156" s="95">
        <v>-1</v>
      </c>
      <c r="G156" s="78">
        <v>1</v>
      </c>
    </row>
    <row r="157" spans="2:9" x14ac:dyDescent="0.25">
      <c r="B157" s="89" t="s">
        <v>124</v>
      </c>
      <c r="C157" s="95">
        <v>-1</v>
      </c>
      <c r="D157" s="95" t="s">
        <v>153</v>
      </c>
      <c r="E157" s="95">
        <v>-1</v>
      </c>
      <c r="F157" s="95">
        <v>-1</v>
      </c>
      <c r="G157" s="78">
        <v>-1</v>
      </c>
    </row>
    <row r="158" spans="2:9" x14ac:dyDescent="0.25">
      <c r="B158" s="89" t="s">
        <v>125</v>
      </c>
      <c r="C158" s="95">
        <v>-1</v>
      </c>
      <c r="D158" s="95">
        <v>1</v>
      </c>
      <c r="E158" s="95" t="s">
        <v>153</v>
      </c>
      <c r="F158" s="95">
        <v>-1</v>
      </c>
      <c r="G158" s="78">
        <v>1</v>
      </c>
    </row>
    <row r="159" spans="2:9" x14ac:dyDescent="0.25">
      <c r="B159" s="89" t="s">
        <v>126</v>
      </c>
      <c r="C159" s="95">
        <v>1</v>
      </c>
      <c r="D159" s="95">
        <v>1</v>
      </c>
      <c r="E159" s="95">
        <v>1</v>
      </c>
      <c r="F159" s="95" t="s">
        <v>153</v>
      </c>
      <c r="G159" s="78">
        <v>1</v>
      </c>
      <c r="I159" s="119"/>
    </row>
    <row r="160" spans="2:9" ht="15.75" thickBot="1" x14ac:dyDescent="0.3">
      <c r="B160" s="90" t="s">
        <v>128</v>
      </c>
      <c r="C160" s="97">
        <v>-1</v>
      </c>
      <c r="D160" s="97">
        <v>1</v>
      </c>
      <c r="E160" s="97">
        <v>-1</v>
      </c>
      <c r="F160" s="97">
        <v>-1</v>
      </c>
      <c r="G160" s="82" t="s">
        <v>153</v>
      </c>
    </row>
    <row r="161" spans="2:7" ht="15.75" thickTop="1" x14ac:dyDescent="0.25"/>
    <row r="162" spans="2:7" ht="15.75" thickBot="1" x14ac:dyDescent="0.3">
      <c r="B162" s="206" t="s">
        <v>116</v>
      </c>
      <c r="C162" s="206"/>
      <c r="D162" s="206"/>
      <c r="E162" s="206"/>
      <c r="F162" s="206"/>
      <c r="G162" s="206"/>
    </row>
    <row r="163" spans="2:7" ht="16.5" thickTop="1" thickBot="1" x14ac:dyDescent="0.3">
      <c r="B163" s="84"/>
      <c r="C163" s="191" t="s">
        <v>123</v>
      </c>
      <c r="D163" s="191" t="s">
        <v>124</v>
      </c>
      <c r="E163" s="191" t="s">
        <v>125</v>
      </c>
      <c r="F163" s="191" t="s">
        <v>126</v>
      </c>
      <c r="G163" s="191" t="s">
        <v>128</v>
      </c>
    </row>
    <row r="164" spans="2:7" x14ac:dyDescent="0.25">
      <c r="B164" s="89" t="s">
        <v>123</v>
      </c>
      <c r="C164" s="98" t="s">
        <v>111</v>
      </c>
      <c r="D164" s="193">
        <f>(C120*ABS(D140-1)+C121*ABS(D148-1)+C122*ABS(D156-1))</f>
        <v>0.48979591836734693</v>
      </c>
      <c r="E164" s="98">
        <f>(C120*ABS(E140-1)+C121*ABS(E148-1)+C122*ABS(E156-1))</f>
        <v>0.48979591836734693</v>
      </c>
      <c r="F164" s="98">
        <f>(C120*ABS(F140-1)+C121*ABS(F148-1)+C122*ABS(F156-1))</f>
        <v>1.1428571428571428</v>
      </c>
      <c r="G164" s="99">
        <f>(C120*ABS(G140-1)+C121*ABS(G148-1)+C122*ABS(G156-1))</f>
        <v>0.48979591836734693</v>
      </c>
    </row>
    <row r="165" spans="2:7" x14ac:dyDescent="0.25">
      <c r="B165" s="89" t="s">
        <v>124</v>
      </c>
      <c r="C165" s="98">
        <f>(C120*ABS(C141-1)+C121*ABS(C149-1)+C122*ABS(C157-1))</f>
        <v>1.510204081632653</v>
      </c>
      <c r="D165" s="98" t="s">
        <v>111</v>
      </c>
      <c r="E165" s="98">
        <f>(C120*ABS(E141-1)+C121*ABS(E149-1)+C122*ABS(E157-1))</f>
        <v>1.2653061224489797</v>
      </c>
      <c r="F165" s="98">
        <f>(C120*ABS(F141-1)+C121*ABS(F149-1)+C122*ABS(F157-1))</f>
        <v>1.510204081632653</v>
      </c>
      <c r="G165" s="99">
        <f>(C120*ABS(G141-1)+C121*ABS(G149-1)+C122*ABS(G157-1))</f>
        <v>1.2653061224489797</v>
      </c>
    </row>
    <row r="166" spans="2:7" x14ac:dyDescent="0.25">
      <c r="B166" s="89" t="s">
        <v>125</v>
      </c>
      <c r="C166" s="98">
        <f>(C120*ABS(C142-1)+C121*ABS(C150-1)+C122*ABS(C158-1))</f>
        <v>1.510204081632653</v>
      </c>
      <c r="D166" s="98">
        <f>(C120*ABS(D142-1)+C121*ABS(D150-1)+C122*ABS(D158-1))</f>
        <v>0.73469387755102045</v>
      </c>
      <c r="E166" s="98" t="s">
        <v>111</v>
      </c>
      <c r="F166" s="98">
        <f>(C120*ABS(F142-1)+C121*ABS(F150-1)+C122*ABS(F158-1))</f>
        <v>1.510204081632653</v>
      </c>
      <c r="G166" s="99">
        <f>(C120*ABS(G142-1)+C121*ABS(G150-1)+C122*ABS(G158-1))</f>
        <v>1.2244897959183674</v>
      </c>
    </row>
    <row r="167" spans="2:7" x14ac:dyDescent="0.25">
      <c r="B167" s="89" t="s">
        <v>126</v>
      </c>
      <c r="C167" s="98">
        <f>(C120*ABS(C143-1)+C121*ABS(C151-1)+C122*ABS(C159-1))</f>
        <v>0.85714285714285721</v>
      </c>
      <c r="D167" s="98">
        <f>(C120*ABS(D143-1)+C121*ABS(D151-1)+C122*ABS(D159-1))</f>
        <v>0.48979591836734693</v>
      </c>
      <c r="E167" s="98">
        <f>(C120*ABS(E143-1)+C121*ABS(E151-1)+C122*ABS(E159-1))</f>
        <v>0.48979591836734693</v>
      </c>
      <c r="F167" s="98" t="s">
        <v>111</v>
      </c>
      <c r="G167" s="99">
        <f>(C120*ABS(G143-1)+C121*ABS(G151-1)+C122*ABS(G159-1))</f>
        <v>0.48979591836734693</v>
      </c>
    </row>
    <row r="168" spans="2:7" ht="15.75" thickBot="1" x14ac:dyDescent="0.3">
      <c r="B168" s="90" t="s">
        <v>128</v>
      </c>
      <c r="C168" s="100">
        <f>(C120*ABS(C144-1)+C121*ABS(C152-1)+C122*ABS(C160-1))</f>
        <v>1.510204081632653</v>
      </c>
      <c r="D168" s="100">
        <f>(C120*ABS(D144-1)+C121*ABS(D152-1)+C122*ABS(D160-1))</f>
        <v>0.73469387755102045</v>
      </c>
      <c r="E168" s="100">
        <f>(C120*ABS(E144-1)+C121*ABS(E152-1)+C122*ABS(E160-1))</f>
        <v>0.77551020408163263</v>
      </c>
      <c r="F168" s="100">
        <f>(C120*ABS(F144-1)+C121*ABS(F152-1)+C122*ABS(F160-1))</f>
        <v>1.510204081632653</v>
      </c>
      <c r="G168" s="101" t="s">
        <v>111</v>
      </c>
    </row>
    <row r="169" spans="2:7" ht="15.75" thickTop="1" x14ac:dyDescent="0.25">
      <c r="B169" s="208" t="s">
        <v>154</v>
      </c>
      <c r="C169" s="208"/>
    </row>
    <row r="170" spans="2:7" x14ac:dyDescent="0.25">
      <c r="B170" s="28" t="s">
        <v>23</v>
      </c>
      <c r="C170" s="158">
        <f>SUM(D164:G164)</f>
        <v>2.6122448979591835</v>
      </c>
      <c r="E170" t="s">
        <v>72</v>
      </c>
    </row>
    <row r="171" spans="2:7" x14ac:dyDescent="0.25">
      <c r="B171" s="28" t="s">
        <v>24</v>
      </c>
      <c r="C171" s="158">
        <f>SUM(C165,E165:G165)</f>
        <v>5.5510204081632653</v>
      </c>
    </row>
    <row r="172" spans="2:7" x14ac:dyDescent="0.25">
      <c r="B172" s="28" t="s">
        <v>25</v>
      </c>
      <c r="C172" s="158">
        <f>SUM(C166:D166,F166:G166)</f>
        <v>4.9795918367346932</v>
      </c>
    </row>
    <row r="173" spans="2:7" x14ac:dyDescent="0.25">
      <c r="B173" s="163" t="s">
        <v>68</v>
      </c>
      <c r="C173" s="164">
        <f>SUM(C167:E167,G167)</f>
        <v>2.3265306122448983</v>
      </c>
    </row>
    <row r="174" spans="2:7" ht="15.75" thickBot="1" x14ac:dyDescent="0.3">
      <c r="B174" s="29" t="s">
        <v>70</v>
      </c>
      <c r="C174" s="159">
        <f>SUM(C168:F168)</f>
        <v>4.5306122448979593</v>
      </c>
    </row>
    <row r="175" spans="2:7" x14ac:dyDescent="0.25">
      <c r="B175" s="160"/>
      <c r="C175" s="160"/>
    </row>
    <row r="176" spans="2:7" x14ac:dyDescent="0.25">
      <c r="B176" s="163" t="s">
        <v>23</v>
      </c>
      <c r="C176" s="164">
        <f>SUM(D164:E164,G164)</f>
        <v>1.4693877551020407</v>
      </c>
      <c r="E176" t="s">
        <v>73</v>
      </c>
    </row>
    <row r="177" spans="2:5" x14ac:dyDescent="0.25">
      <c r="B177" s="28" t="s">
        <v>24</v>
      </c>
      <c r="C177" s="158">
        <f>SUM(C165,E165,G165)</f>
        <v>4.0408163265306118</v>
      </c>
    </row>
    <row r="178" spans="2:5" x14ac:dyDescent="0.25">
      <c r="B178" s="28" t="s">
        <v>25</v>
      </c>
      <c r="C178" s="158">
        <f>SUM(C166:D166,G166)</f>
        <v>3.4693877551020407</v>
      </c>
    </row>
    <row r="179" spans="2:5" ht="15.75" thickBot="1" x14ac:dyDescent="0.3">
      <c r="B179" s="29" t="s">
        <v>70</v>
      </c>
      <c r="C179" s="159">
        <f>SUM(C168:F168)</f>
        <v>4.5306122448979593</v>
      </c>
    </row>
    <row r="180" spans="2:5" x14ac:dyDescent="0.25">
      <c r="B180" s="160"/>
      <c r="C180" s="160"/>
    </row>
    <row r="181" spans="2:5" x14ac:dyDescent="0.25">
      <c r="B181" s="28" t="s">
        <v>24</v>
      </c>
      <c r="C181" s="158">
        <f>SUM(E165,G165)</f>
        <v>2.5306122448979593</v>
      </c>
      <c r="E181" t="s">
        <v>75</v>
      </c>
    </row>
    <row r="182" spans="2:5" x14ac:dyDescent="0.25">
      <c r="B182" s="28" t="s">
        <v>25</v>
      </c>
      <c r="C182" s="158">
        <f>SUM(D166,G166)</f>
        <v>1.9591836734693877</v>
      </c>
    </row>
    <row r="183" spans="2:5" ht="15.75" thickBot="1" x14ac:dyDescent="0.3">
      <c r="B183" s="162" t="s">
        <v>70</v>
      </c>
      <c r="C183" s="147">
        <f>SUM(D168,E168)</f>
        <v>1.510204081632653</v>
      </c>
    </row>
    <row r="184" spans="2:5" x14ac:dyDescent="0.25">
      <c r="B184" s="136"/>
      <c r="C184" s="161"/>
    </row>
    <row r="185" spans="2:5" x14ac:dyDescent="0.25">
      <c r="B185" s="28" t="s">
        <v>24</v>
      </c>
      <c r="C185" s="158">
        <f>SUM(E165)</f>
        <v>1.2653061224489797</v>
      </c>
      <c r="E185" t="s">
        <v>77</v>
      </c>
    </row>
    <row r="186" spans="2:5" ht="15.75" thickBot="1" x14ac:dyDescent="0.3">
      <c r="B186" s="163" t="s">
        <v>25</v>
      </c>
      <c r="C186" s="147">
        <f>SUM(D166)</f>
        <v>0.73469387755102045</v>
      </c>
    </row>
    <row r="187" spans="2:5" x14ac:dyDescent="0.25">
      <c r="B187" s="160"/>
      <c r="C187" s="160"/>
    </row>
    <row r="188" spans="2:5" x14ac:dyDescent="0.25">
      <c r="B188" s="194" t="s">
        <v>155</v>
      </c>
    </row>
    <row r="190" spans="2:5" x14ac:dyDescent="0.25">
      <c r="B190" s="207" t="s">
        <v>156</v>
      </c>
      <c r="C190" s="207"/>
      <c r="D190" s="207"/>
      <c r="E190" s="207"/>
    </row>
    <row r="191" spans="2:5" ht="15.75" thickBot="1" x14ac:dyDescent="0.3"/>
    <row r="192" spans="2:5" ht="15.75" thickBot="1" x14ac:dyDescent="0.3">
      <c r="B192" s="24" t="s">
        <v>139</v>
      </c>
      <c r="C192" s="191" t="s">
        <v>123</v>
      </c>
      <c r="D192" s="191" t="s">
        <v>126</v>
      </c>
      <c r="E192" s="191" t="s">
        <v>128</v>
      </c>
    </row>
    <row r="193" spans="2:9" ht="30.75" thickBot="1" x14ac:dyDescent="0.3">
      <c r="B193" s="14" t="s">
        <v>129</v>
      </c>
      <c r="C193" s="5" t="s">
        <v>130</v>
      </c>
      <c r="D193" s="5" t="s">
        <v>130</v>
      </c>
      <c r="E193" s="5" t="s">
        <v>134</v>
      </c>
    </row>
    <row r="194" spans="2:9" ht="30.75" thickBot="1" x14ac:dyDescent="0.3">
      <c r="B194" s="14" t="s">
        <v>135</v>
      </c>
      <c r="C194" s="5" t="s">
        <v>132</v>
      </c>
      <c r="D194" s="5" t="s">
        <v>136</v>
      </c>
      <c r="E194" s="5" t="s">
        <v>130</v>
      </c>
    </row>
    <row r="195" spans="2:9" ht="30.75" thickBot="1" x14ac:dyDescent="0.3">
      <c r="B195" s="14" t="s">
        <v>157</v>
      </c>
      <c r="C195" s="5">
        <v>2.5</v>
      </c>
      <c r="D195" s="5">
        <v>2</v>
      </c>
      <c r="E195" s="5">
        <v>3.5</v>
      </c>
      <c r="I195" s="119"/>
    </row>
    <row r="197" spans="2:9" ht="15.75" thickBot="1" x14ac:dyDescent="0.3">
      <c r="B197" s="217" t="s">
        <v>83</v>
      </c>
      <c r="C197" s="217"/>
      <c r="D197" s="217"/>
      <c r="E197" s="217"/>
    </row>
    <row r="198" spans="2:9" ht="15.75" thickBot="1" x14ac:dyDescent="0.3">
      <c r="B198" s="24" t="s">
        <v>139</v>
      </c>
      <c r="C198" s="191" t="s">
        <v>123</v>
      </c>
      <c r="D198" s="191" t="s">
        <v>126</v>
      </c>
      <c r="E198" s="191" t="s">
        <v>128</v>
      </c>
    </row>
    <row r="199" spans="2:9" ht="30.75" thickBot="1" x14ac:dyDescent="0.3">
      <c r="B199" s="14" t="s">
        <v>129</v>
      </c>
      <c r="C199" s="12">
        <v>1</v>
      </c>
      <c r="D199" s="191">
        <v>1</v>
      </c>
      <c r="E199" s="191">
        <v>0.5</v>
      </c>
      <c r="G199" s="119"/>
      <c r="H199" s="119"/>
    </row>
    <row r="200" spans="2:9" ht="15.75" thickBot="1" x14ac:dyDescent="0.3">
      <c r="B200" s="14" t="s">
        <v>135</v>
      </c>
      <c r="C200" s="192">
        <v>0.25</v>
      </c>
      <c r="D200" s="5">
        <v>0.1</v>
      </c>
      <c r="E200" s="5">
        <v>1</v>
      </c>
    </row>
    <row r="201" spans="2:9" ht="30.75" thickBot="1" x14ac:dyDescent="0.3">
      <c r="B201" s="14" t="s">
        <v>157</v>
      </c>
      <c r="C201" s="192">
        <v>0.8</v>
      </c>
      <c r="D201" s="5">
        <v>1</v>
      </c>
      <c r="E201" s="5">
        <v>0.56999999999999995</v>
      </c>
    </row>
    <row r="202" spans="2:9" x14ac:dyDescent="0.25">
      <c r="I202" s="129"/>
    </row>
    <row r="203" spans="2:9" ht="15.75" thickBot="1" x14ac:dyDescent="0.3">
      <c r="B203" s="217" t="s">
        <v>117</v>
      </c>
      <c r="C203" s="217"/>
      <c r="D203" s="217"/>
      <c r="E203" s="217"/>
      <c r="G203" s="200" t="s">
        <v>120</v>
      </c>
      <c r="H203" s="200"/>
    </row>
    <row r="204" spans="2:9" ht="15.75" thickBot="1" x14ac:dyDescent="0.3">
      <c r="B204" s="218"/>
      <c r="C204" s="191" t="s">
        <v>123</v>
      </c>
      <c r="D204" s="191" t="s">
        <v>126</v>
      </c>
      <c r="E204" s="191" t="s">
        <v>128</v>
      </c>
      <c r="G204" s="228" t="s">
        <v>119</v>
      </c>
      <c r="H204" s="229">
        <f>MIN(D205:E205)</f>
        <v>0.61224489795918369</v>
      </c>
    </row>
    <row r="205" spans="2:9" x14ac:dyDescent="0.25">
      <c r="B205" s="219" t="s">
        <v>158</v>
      </c>
      <c r="C205" s="195" t="s">
        <v>111</v>
      </c>
      <c r="D205" s="223">
        <f>C121+C120</f>
        <v>0.61224489795918369</v>
      </c>
      <c r="E205" s="38">
        <f>C120+C122</f>
        <v>0.75510204081632648</v>
      </c>
      <c r="G205" s="226" t="s">
        <v>164</v>
      </c>
      <c r="H205" s="227">
        <f>MIN(C206,E206)</f>
        <v>0.75510204081632648</v>
      </c>
    </row>
    <row r="206" spans="2:9" x14ac:dyDescent="0.25">
      <c r="B206" s="220" t="s">
        <v>159</v>
      </c>
      <c r="C206" s="224">
        <f>C120+C122</f>
        <v>0.75510204081632648</v>
      </c>
      <c r="D206" s="61" t="s">
        <v>111</v>
      </c>
      <c r="E206" s="39">
        <f>C120+C122</f>
        <v>0.75510204081632648</v>
      </c>
      <c r="G206" s="166" t="s">
        <v>165</v>
      </c>
      <c r="H206" s="167">
        <f>MIN(C207:D207)</f>
        <v>0.24489795918367346</v>
      </c>
    </row>
    <row r="207" spans="2:9" ht="15.75" thickBot="1" x14ac:dyDescent="0.3">
      <c r="B207" s="221" t="s">
        <v>160</v>
      </c>
      <c r="C207" s="225">
        <f>C121</f>
        <v>0.24489795918367346</v>
      </c>
      <c r="D207" s="222">
        <f>C121</f>
        <v>0.24489795918367346</v>
      </c>
      <c r="E207" s="55" t="s">
        <v>111</v>
      </c>
      <c r="G207" s="205" t="s">
        <v>161</v>
      </c>
      <c r="H207" s="205"/>
    </row>
    <row r="209" spans="2:9" ht="15.75" thickBot="1" x14ac:dyDescent="0.3">
      <c r="B209" s="217" t="s">
        <v>118</v>
      </c>
      <c r="C209" s="217"/>
      <c r="D209" s="217"/>
      <c r="E209" s="217"/>
      <c r="G209" s="200" t="s">
        <v>121</v>
      </c>
      <c r="H209" s="200"/>
      <c r="I209" s="129"/>
    </row>
    <row r="210" spans="2:9" ht="15.75" thickBot="1" x14ac:dyDescent="0.3">
      <c r="B210" s="218"/>
      <c r="C210" s="191" t="s">
        <v>123</v>
      </c>
      <c r="D210" s="191" t="s">
        <v>126</v>
      </c>
      <c r="E210" s="191" t="s">
        <v>128</v>
      </c>
      <c r="G210" s="228" t="s">
        <v>122</v>
      </c>
      <c r="H210" s="229">
        <f>MAX(D211:E211)</f>
        <v>0.75</v>
      </c>
    </row>
    <row r="211" spans="2:9" x14ac:dyDescent="0.25">
      <c r="B211" s="219" t="s">
        <v>158</v>
      </c>
      <c r="C211" s="195" t="s">
        <v>111</v>
      </c>
      <c r="D211" s="130">
        <f>D201-C201</f>
        <v>0.19999999999999996</v>
      </c>
      <c r="E211" s="38">
        <f>E200-C200</f>
        <v>0.75</v>
      </c>
      <c r="G211" s="166" t="s">
        <v>49</v>
      </c>
      <c r="H211" s="167">
        <f>MAX(C212,E212)</f>
        <v>0.9</v>
      </c>
    </row>
    <row r="212" spans="2:9" x14ac:dyDescent="0.25">
      <c r="B212" s="220" t="s">
        <v>159</v>
      </c>
      <c r="C212" s="42">
        <f>MAX(C200-D200)</f>
        <v>0.15</v>
      </c>
      <c r="D212" s="61" t="s">
        <v>111</v>
      </c>
      <c r="E212" s="39">
        <f>MAX(E200-D200)</f>
        <v>0.9</v>
      </c>
      <c r="G212" s="226" t="s">
        <v>166</v>
      </c>
      <c r="H212" s="227">
        <f>MAX(C213:D213)</f>
        <v>0.5</v>
      </c>
    </row>
    <row r="213" spans="2:9" ht="15.75" thickBot="1" x14ac:dyDescent="0.3">
      <c r="B213" s="221" t="s">
        <v>160</v>
      </c>
      <c r="C213" s="43">
        <f>MAX(C199-E199,C201-E201)</f>
        <v>0.5</v>
      </c>
      <c r="D213" s="222">
        <f>MAX(D199-E199,D201-E201)</f>
        <v>0.5</v>
      </c>
      <c r="E213" s="55" t="s">
        <v>111</v>
      </c>
      <c r="G213" s="205" t="s">
        <v>162</v>
      </c>
      <c r="H213" s="205"/>
    </row>
    <row r="215" spans="2:9" x14ac:dyDescent="0.25">
      <c r="G215" s="119" t="s">
        <v>163</v>
      </c>
    </row>
  </sheetData>
  <mergeCells count="40">
    <mergeCell ref="B71:D71"/>
    <mergeCell ref="B7:G7"/>
    <mergeCell ref="H18:H19"/>
    <mergeCell ref="B14:G14"/>
    <mergeCell ref="B16:G16"/>
    <mergeCell ref="B41:C41"/>
    <mergeCell ref="E41:F41"/>
    <mergeCell ref="C22:E22"/>
    <mergeCell ref="C35:E35"/>
    <mergeCell ref="B110:B111"/>
    <mergeCell ref="B28:F28"/>
    <mergeCell ref="B46:C46"/>
    <mergeCell ref="E46:F46"/>
    <mergeCell ref="B62:C62"/>
    <mergeCell ref="B64:D64"/>
    <mergeCell ref="B99:C99"/>
    <mergeCell ref="B107:E107"/>
    <mergeCell ref="C110:E110"/>
    <mergeCell ref="B77:C77"/>
    <mergeCell ref="B82:C82"/>
    <mergeCell ref="B87:C87"/>
    <mergeCell ref="B96:C96"/>
    <mergeCell ref="B109:E109"/>
    <mergeCell ref="B51:E51"/>
    <mergeCell ref="B57:C57"/>
    <mergeCell ref="B125:G125"/>
    <mergeCell ref="B132:G132"/>
    <mergeCell ref="B138:G138"/>
    <mergeCell ref="B146:G146"/>
    <mergeCell ref="B154:G154"/>
    <mergeCell ref="G213:H213"/>
    <mergeCell ref="B162:G162"/>
    <mergeCell ref="B190:E190"/>
    <mergeCell ref="B197:E197"/>
    <mergeCell ref="B203:E203"/>
    <mergeCell ref="B209:E209"/>
    <mergeCell ref="G203:H203"/>
    <mergeCell ref="G209:H209"/>
    <mergeCell ref="G207:H207"/>
    <mergeCell ref="B169:C1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Лист1!_Toc517350768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Luflexia ⠀</cp:lastModifiedBy>
  <dcterms:created xsi:type="dcterms:W3CDTF">2015-06-05T18:19:34Z</dcterms:created>
  <dcterms:modified xsi:type="dcterms:W3CDTF">2025-03-31T09:08:42Z</dcterms:modified>
</cp:coreProperties>
</file>