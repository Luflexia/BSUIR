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ШАБЛОНЫ ДОКУМЕНТОВ" sheetId="1" r:id="rId5"/>
    <sheet state="visible" name="График работы" sheetId="2" r:id="rId6"/>
    <sheet state="hidden" name="Очеродность" sheetId="3" r:id="rId7"/>
    <sheet state="visible" name="250501-5_Стракович А.И." sheetId="4" r:id="rId8"/>
    <sheet state="visible" name="250504_Туровец Н.О." sheetId="5" r:id="rId9"/>
    <sheet state="visible" name="250503_150541_Ковшер Е.И." sheetId="6" r:id="rId10"/>
    <sheet state="hidden" name="График работы (ЗАОЧНИКИ)_old" sheetId="7" r:id="rId11"/>
    <sheet state="hidden" name="150541_Ковшер Е.И." sheetId="8" r:id="rId12"/>
  </sheets>
  <definedNames/>
  <calcPr/>
</workbook>
</file>

<file path=xl/sharedStrings.xml><?xml version="1.0" encoding="utf-8"?>
<sst xmlns="http://schemas.openxmlformats.org/spreadsheetml/2006/main" count="1103" uniqueCount="441">
  <si>
    <t>ШАБЛОНЫ ДОКУМЕНТОВ</t>
  </si>
  <si>
    <t>Тип документа</t>
  </si>
  <si>
    <t>Ссылка на документ</t>
  </si>
  <si>
    <t>Примечания</t>
  </si>
  <si>
    <t>Стандарт предприятия</t>
  </si>
  <si>
    <t>ссылка</t>
  </si>
  <si>
    <t>Основной документ по оформлению ДП</t>
  </si>
  <si>
    <r>
      <rPr>
        <rFont val="Times New Roman"/>
        <color theme="1"/>
        <sz val="12.0"/>
      </rPr>
      <t xml:space="preserve">Методическое пособие по дипломному проектированию </t>
    </r>
    <r>
      <rPr>
        <rFont val="Times New Roman"/>
        <i/>
        <color theme="1"/>
        <sz val="12.0"/>
      </rPr>
      <t>(кроме листа задания)</t>
    </r>
  </si>
  <si>
    <r>
      <rPr>
        <rFont val="Times New Roman"/>
        <color rgb="FF1155CC"/>
        <sz val="12.0"/>
        <u/>
      </rPr>
      <t>ссылка</t>
    </r>
    <r>
      <rPr>
        <rFont val="Times New Roman"/>
        <sz val="12.0"/>
      </rPr>
      <t xml:space="preserve"> </t>
    </r>
  </si>
  <si>
    <t>Смотреть тут, если чего-то нет в СТП (фрагменты программ, сетевые ДП)</t>
  </si>
  <si>
    <t>Требования к твердому переплету</t>
  </si>
  <si>
    <t>Проверка на антиплагиат</t>
  </si>
  <si>
    <t>Уточнения по записке и чертежам</t>
  </si>
  <si>
    <t>Заметки для самостоятельной проверки</t>
  </si>
  <si>
    <t>ПОЯСНИТЕЛЬНАЯ ЗАПИСКА (Word)</t>
  </si>
  <si>
    <t>Титульный лист ПДП</t>
  </si>
  <si>
    <t>Титульный лист ДП</t>
  </si>
  <si>
    <t>Оборотная сторона титульного листа в нумерацию не включается</t>
  </si>
  <si>
    <t>Реферат</t>
  </si>
  <si>
    <t>Лист задания</t>
  </si>
  <si>
    <t>ЛЗ двухсторонний, нумерация считается для каждой стороны</t>
  </si>
  <si>
    <t>Пояснительная записка (программная)</t>
  </si>
  <si>
    <t>Отзыв руководителя</t>
  </si>
  <si>
    <t>Пишет руководитель. Не подшивается в записку</t>
  </si>
  <si>
    <t>Шрифты для чертежей</t>
  </si>
  <si>
    <t>GOST_A</t>
  </si>
  <si>
    <t>Сначала установить шрифт, потом открывать шаблоны чертежей!</t>
  </si>
  <si>
    <t>GOST_B</t>
  </si>
  <si>
    <t>Приложения в составе пояснительной записки (Visio)</t>
  </si>
  <si>
    <t>Рамка А3</t>
  </si>
  <si>
    <t>Рамка А4</t>
  </si>
  <si>
    <t>Перечень элементов</t>
  </si>
  <si>
    <t>Спецификация программного ДП</t>
  </si>
  <si>
    <t>Ведомость документов</t>
  </si>
  <si>
    <t>ГРАФИЧЕСКИЙ МАТЕРИАЛ (Visio)</t>
  </si>
  <si>
    <t>Одиночная рамка для чертежей</t>
  </si>
  <si>
    <t>Толстая линия 2.55 пт, тонкая линия 0.85 пт</t>
  </si>
  <si>
    <t>Двойная рамка для чертежей</t>
  </si>
  <si>
    <t>Рамка для Вводного и Заключительного плакатов</t>
  </si>
  <si>
    <t>Структурная схема (шаблон)</t>
  </si>
  <si>
    <t>Минимум 8 блоков должно быть</t>
  </si>
  <si>
    <t>Диаграмма классов (шаблон)</t>
  </si>
  <si>
    <t>Диаграмма последовательности (шаблон)</t>
  </si>
  <si>
    <t>Схема программы (шаблон)</t>
  </si>
  <si>
    <t>Схема принципиальная (шаблон)</t>
  </si>
  <si>
    <r>
      <rPr>
        <rFont val="Times New Roman"/>
        <b/>
        <color rgb="FFFFFF00"/>
        <sz val="14.0"/>
      </rPr>
      <t>ТАКЖЕ на рабочую комиссию должны быть представлены вкладыши для пояснительной записки:</t>
    </r>
    <r>
      <rPr>
        <rFont val="Times New Roman"/>
        <color rgb="FFFFFF00"/>
        <sz val="14.0"/>
      </rPr>
      <t xml:space="preserve"> отзыв руководителя (подпись руководителя и печать, если внешний руководитель), акт внедрения если есть (с подписью и печатью организации)</t>
    </r>
  </si>
  <si>
    <t>ГРАФИК РАБОТЫ НОРМОКОНТРОЛЕРОВ</t>
  </si>
  <si>
    <t>№ процентовки  - кол-во выполненного ДП</t>
  </si>
  <si>
    <t>Период консультации</t>
  </si>
  <si>
    <t>Стракович Андрей Иванович</t>
  </si>
  <si>
    <t>Туровец Николай Олегович</t>
  </si>
  <si>
    <t>Ковшер Елизавета Игоревна</t>
  </si>
  <si>
    <t>ПРЕДДИПЛОМНАЯ ПРАКТИКА (ПДП)</t>
  </si>
  <si>
    <t>1 - 40%</t>
  </si>
  <si>
    <r>
      <rPr>
        <rFont val="Times New Roman"/>
        <b/>
        <color rgb="FFFFFFFF"/>
        <sz val="14.0"/>
      </rPr>
      <t>02.03.2026-08.03.2026</t>
    </r>
    <r>
      <rPr>
        <rFont val="Times New Roman"/>
        <color rgb="FF00FF00"/>
        <sz val="12.0"/>
      </rPr>
      <t>(период отправки электронного варианта)</t>
    </r>
  </si>
  <si>
    <t>В электронном виде проверка проводится только 1 раз за практику</t>
  </si>
  <si>
    <r>
      <rPr>
        <rFont val="Times New Roman"/>
        <b/>
        <color rgb="FFFFFFFF"/>
        <sz val="14.0"/>
      </rPr>
      <t>09.03.2026-15.03.2026</t>
    </r>
    <r>
      <rPr>
        <rFont val="Times New Roman"/>
        <color rgb="FFFFFFFF"/>
        <sz val="12.0"/>
      </rPr>
      <t xml:space="preserve"> </t>
    </r>
    <r>
      <rPr>
        <rFont val="Times New Roman"/>
        <color rgb="FF00FF00"/>
        <sz val="12.0"/>
      </rPr>
      <t>(период отправки электронного варианта)</t>
    </r>
  </si>
  <si>
    <r>
      <rPr>
        <rFont val="Times New Roman"/>
        <b/>
        <color rgb="FFFFFFFF"/>
        <sz val="12.0"/>
      </rPr>
      <t>16.03.2026-20.03.2026</t>
    </r>
    <r>
      <rPr>
        <rFont val="Times New Roman"/>
        <color rgb="FFFFFFFF"/>
        <sz val="12.0"/>
      </rPr>
      <t xml:space="preserve"> </t>
    </r>
    <r>
      <rPr>
        <rFont val="Times New Roman"/>
        <color rgb="FFFF00FF"/>
        <sz val="12.0"/>
      </rPr>
      <t xml:space="preserve">(очный и бумажный вариант, </t>
    </r>
    <r>
      <rPr>
        <rFont val="Times New Roman"/>
        <i/>
        <color rgb="FFFF00FF"/>
        <sz val="12.0"/>
      </rPr>
      <t>но еще можно скинуть в электронном виде</t>
    </r>
    <r>
      <rPr>
        <rFont val="Times New Roman"/>
        <color rgb="FFFF00FF"/>
        <sz val="12.0"/>
      </rPr>
      <t>)</t>
    </r>
  </si>
  <si>
    <t>17.03.2026
19.03.2026</t>
  </si>
  <si>
    <t>14.00 - 17.00
14.00 - 16.00</t>
  </si>
  <si>
    <t>508-5</t>
  </si>
  <si>
    <t>17.03.2026.                      20.03.2026</t>
  </si>
  <si>
    <t>12:00-15:00.                             10:00-12:00</t>
  </si>
  <si>
    <t>501а-5</t>
  </si>
  <si>
    <r>
      <rPr>
        <rFont val="Times New Roman"/>
        <b/>
        <color rgb="FFFFFFFF"/>
        <sz val="12.0"/>
      </rPr>
      <t>23.03.2026-28.03.2026</t>
    </r>
    <r>
      <rPr>
        <rFont val="Times New Roman"/>
        <color rgb="FFFFFFFF"/>
        <sz val="12.0"/>
      </rPr>
      <t xml:space="preserve"> </t>
    </r>
    <r>
      <rPr>
        <rFont val="Times New Roman"/>
        <b/>
        <color rgb="FFFF0000"/>
        <sz val="12.0"/>
      </rPr>
      <t xml:space="preserve">Финальная проверка только в очном и бумажном варианте отчетов по ПДП. </t>
    </r>
    <r>
      <rPr>
        <rFont val="Times New Roman"/>
        <b/>
        <color rgb="FFFFFF00"/>
        <sz val="12.0"/>
      </rPr>
      <t>100% каждый должен подойти</t>
    </r>
  </si>
  <si>
    <t>24.03.2026
25.03.2026
26.03.2026
27.03.2026</t>
  </si>
  <si>
    <t>14.00 - 17.00
14.00 - 17.00
14.00 - 17.00
11.00 - 14.00</t>
  </si>
  <si>
    <t>27.03.2026
28.03.2026</t>
  </si>
  <si>
    <t>15.30 - 19.30
10.00 - 13.00</t>
  </si>
  <si>
    <t>23.03.2026                                                       26.03.2026                                                           27.03.2026</t>
  </si>
  <si>
    <t>15:00-16:50                                         15:30-19:00                                           14:00-15:00</t>
  </si>
  <si>
    <t>2 - 60%</t>
  </si>
  <si>
    <r>
      <rPr>
        <rFont val="Times New Roman"/>
        <b/>
        <color rgb="FFFFFFFF"/>
        <sz val="12.0"/>
      </rPr>
      <t xml:space="preserve">30.03.2026-04.04.2026 </t>
    </r>
    <r>
      <rPr>
        <rFont val="Times New Roman"/>
        <b/>
        <color rgb="FFFF0000"/>
        <sz val="12.0"/>
      </rPr>
      <t>Финальная проверка только в очном и бумажном варианте отчетов по ПДП</t>
    </r>
    <r>
      <rPr>
        <rFont val="Times New Roman"/>
        <b/>
        <color rgb="FFFFFFFF"/>
        <sz val="12.0"/>
      </rPr>
      <t xml:space="preserve">. </t>
    </r>
    <r>
      <rPr>
        <rFont val="Times New Roman"/>
        <b/>
        <color rgb="FFFFFF00"/>
        <sz val="12.0"/>
      </rPr>
      <t xml:space="preserve">(только очный бумажный вариант). </t>
    </r>
  </si>
  <si>
    <t>30.03.2026
31.03.2026
02.04.2026</t>
  </si>
  <si>
    <t>15.00 - 18.00
13.00 - 16.00
13.00 - 16.00</t>
  </si>
  <si>
    <t xml:space="preserve">31.03.2026                                                                            02.04.2026          </t>
  </si>
  <si>
    <t>11:40-13:25 и 15:00-17:00                                     15:00-19:00</t>
  </si>
  <si>
    <t>03.04.2025 до 13:00 преподаватели закрывают ведомости по практике. Руководителю заранее необходимо передать: отчет со всеми подписями на титульнике ПДП, дневник со всеми подписями и печатями и зачетную книжку. Договариваетесь со своим руководителем вы самостоятельно. Документы перечисленные выше нам отдает руководитель.ю когда придет выставлять оценку в ведомость</t>
  </si>
  <si>
    <t>ДИПЛОМНОЕ ПРОЕКТИРОВАНИЕ (ДП)</t>
  </si>
  <si>
    <r>
      <rPr>
        <rFont val="Times New Roman"/>
        <b/>
        <color rgb="FFFFFFFF"/>
        <sz val="12.0"/>
      </rPr>
      <t xml:space="preserve">06.04.2026-11.04.2026 </t>
    </r>
    <r>
      <rPr>
        <rFont val="Times New Roman"/>
        <b/>
        <color rgb="FFFFFF00"/>
        <sz val="12.0"/>
      </rPr>
      <t>(только очный бумажный вариант)</t>
    </r>
  </si>
  <si>
    <t>13.00 - 15.00</t>
  </si>
  <si>
    <t>15:05-17:05</t>
  </si>
  <si>
    <t>501a-5</t>
  </si>
  <si>
    <r>
      <rPr>
        <rFont val="Times New Roman"/>
        <b/>
        <color rgb="FFFFFFFF"/>
        <sz val="12.0"/>
      </rPr>
      <t xml:space="preserve">13.04.2026-18.04.2026 </t>
    </r>
    <r>
      <rPr>
        <rFont val="Times New Roman"/>
        <b/>
        <color rgb="FFFFFF00"/>
        <sz val="12.0"/>
      </rPr>
      <t>(только очный бумажный вариант)</t>
    </r>
  </si>
  <si>
    <t>14.04.2026
15.04.2026</t>
  </si>
  <si>
    <t>13.00 - 15.00
17.00 - 19.00</t>
  </si>
  <si>
    <t>11:00-13:00</t>
  </si>
  <si>
    <t>16.04.2026                       17.04.2026</t>
  </si>
  <si>
    <t>15:00-18:00                15:05-17:00</t>
  </si>
  <si>
    <t>3 - 80%</t>
  </si>
  <si>
    <r>
      <rPr>
        <rFont val="Times New Roman"/>
        <b/>
        <color rgb="FFFFFFFF"/>
        <sz val="12.0"/>
      </rPr>
      <t xml:space="preserve">20.04.2026-25.04.2026 </t>
    </r>
    <r>
      <rPr>
        <rFont val="Times New Roman"/>
        <b/>
        <color rgb="FFFFFF00"/>
        <sz val="12.0"/>
      </rPr>
      <t>(только очный бумажный вариант)</t>
    </r>
  </si>
  <si>
    <t>22.04.2026
23.04.2026</t>
  </si>
  <si>
    <t>13.00 - 16.00
13.00 - 16.00</t>
  </si>
  <si>
    <t>14:00-16:00</t>
  </si>
  <si>
    <t>15:10-17:45</t>
  </si>
  <si>
    <r>
      <rPr>
        <rFont val="Times New Roman"/>
        <b/>
        <color rgb="FFFFFFFF"/>
        <sz val="12.0"/>
      </rPr>
      <t xml:space="preserve">27.04.2026-02.05.2026 </t>
    </r>
    <r>
      <rPr>
        <rFont val="Times New Roman"/>
        <b/>
        <color rgb="FFFFFF00"/>
        <sz val="12.0"/>
      </rPr>
      <t>(только очный бумажный вариант)</t>
    </r>
  </si>
  <si>
    <t>27.04.2026
28.04.2026
29.04.2026
30.04.2026</t>
  </si>
  <si>
    <t>15.00 - 18.00
13.00 - 16.00
13.00 - 16.00
12.00 - 15.00</t>
  </si>
  <si>
    <t>27.04.2026
28.04.2026
30.04.2026</t>
  </si>
  <si>
    <t>10:00-13.00
13:00-16:00
12:00-15:00</t>
  </si>
  <si>
    <t>27.04.2026                                28.04.2026</t>
  </si>
  <si>
    <t xml:space="preserve">15:00-18:00         12:00-13:30        </t>
  </si>
  <si>
    <r>
      <rPr>
        <rFont val="Times New Roman"/>
        <b/>
        <color rgb="FFFFFFFF"/>
        <sz val="12.0"/>
      </rPr>
      <t xml:space="preserve">04.05.2026-08.05.2026 </t>
    </r>
    <r>
      <rPr>
        <rFont val="Times New Roman"/>
        <b/>
        <color rgb="FFFFFF00"/>
        <sz val="12.0"/>
      </rPr>
      <t>(только очный бумажный вариант)</t>
    </r>
  </si>
  <si>
    <t>18.00 - 20.00</t>
  </si>
  <si>
    <t>04.05.2026                  08.05.2026</t>
  </si>
  <si>
    <t xml:space="preserve">15:00-18:00        15:00-18:00                          </t>
  </si>
  <si>
    <t>4 - 100%</t>
  </si>
  <si>
    <r>
      <rPr>
        <rFont val="Times New Roman"/>
        <b/>
        <color rgb="FFFFFFFF"/>
        <sz val="12.0"/>
      </rPr>
      <t xml:space="preserve">11.05.2026-16.05.2026 </t>
    </r>
    <r>
      <rPr>
        <rFont val="Times New Roman"/>
        <b/>
        <color rgb="FFFFFF00"/>
        <sz val="12.0"/>
      </rPr>
      <t>(только очный бумажный вариант)</t>
    </r>
  </si>
  <si>
    <t xml:space="preserve">12.05.2026 
13.05.2026
14.05.2026 
15.05.2026 </t>
  </si>
  <si>
    <t>15.00 - 18.00
16.00 - 19.00
15.00 - 18.00
17.00 - 19.00</t>
  </si>
  <si>
    <t>08:30-11:30</t>
  </si>
  <si>
    <t>13.05.2026                                         15.05.2026</t>
  </si>
  <si>
    <t>16:20-20:20                                  13:45-18:45</t>
  </si>
  <si>
    <t>501а-5(приходить к НАЧАЛУ)</t>
  </si>
  <si>
    <r>
      <rPr>
        <rFont val="Times New Roman"/>
        <b/>
        <color rgb="FFFFFFFF"/>
        <sz val="12.0"/>
      </rPr>
      <t xml:space="preserve">18.05.2026-23.05.2026 </t>
    </r>
    <r>
      <rPr>
        <rFont val="Times New Roman"/>
        <b/>
        <color rgb="FFFFFF00"/>
        <sz val="12.0"/>
      </rPr>
      <t>(только очный бумажный вариант)</t>
    </r>
  </si>
  <si>
    <t xml:space="preserve">18.05.2026 
19.05.2026
20.05.2026 
21.05.2026
</t>
  </si>
  <si>
    <t>14.00 - 17.00
14.00 - 17.00
14.00 - 17.00
14.00 - 17.00
(подпись подшитых)</t>
  </si>
  <si>
    <r>
      <rPr>
        <rFont val="Times New Roman"/>
        <b/>
        <color rgb="FFFFFFFF"/>
        <sz val="12.0"/>
      </rPr>
      <t xml:space="preserve">25.05.2026-28.05.2026 </t>
    </r>
    <r>
      <rPr>
        <rFont val="Times New Roman"/>
        <b/>
        <color rgb="FFFFFF00"/>
        <sz val="12.0"/>
      </rPr>
      <t>(только очный бумажный вариант)</t>
    </r>
  </si>
  <si>
    <t>3
3</t>
  </si>
  <si>
    <t>Информация для отправки электронного варианта:</t>
  </si>
  <si>
    <r>
      <rPr>
        <rFont val="Times New Roman"/>
        <color rgb="FFFFFF00"/>
        <sz val="14.0"/>
      </rPr>
      <t xml:space="preserve">Электронная почта: </t>
    </r>
    <r>
      <rPr>
        <rFont val="Times New Roman"/>
        <color rgb="FFFFFFFF"/>
        <sz val="14.0"/>
      </rPr>
      <t>andrei.strakovich@gmail.com</t>
    </r>
    <r>
      <rPr>
        <rFont val="Times New Roman"/>
        <color rgb="FFFFFF00"/>
        <sz val="14.0"/>
      </rPr>
      <t>. 
Тема письма: "ПДП.25050_. Фамилия"
Расшаривать папку с pdf-файлами на комментирование</t>
    </r>
  </si>
  <si>
    <r>
      <rPr>
        <rFont val="Times New Roman"/>
        <color rgb="FFFF9900"/>
        <sz val="14.0"/>
      </rPr>
      <t xml:space="preserve">Электронная почта: </t>
    </r>
    <r>
      <rPr>
        <rFont val="Times New Roman"/>
        <color rgb="FFFFFFFF"/>
        <sz val="14.0"/>
      </rPr>
      <t>turovets.nick999@gmail.com</t>
    </r>
    <r>
      <rPr>
        <rFont val="Times New Roman"/>
        <color rgb="FFFF9900"/>
        <sz val="14.0"/>
      </rPr>
      <t>. Тема письма: "ПДП.250504. Фамилия"</t>
    </r>
  </si>
  <si>
    <r>
      <rPr>
        <rFont val="Times New Roman"/>
        <color rgb="FF00FFFF"/>
        <sz val="14.0"/>
      </rPr>
      <t xml:space="preserve">Электронная почта: </t>
    </r>
    <r>
      <rPr>
        <rFont val="Times New Roman"/>
        <color rgb="FFFFFFFF"/>
        <sz val="14.0"/>
      </rPr>
      <t>elizavetakovsher@mail.ru</t>
    </r>
    <r>
      <rPr>
        <rFont val="Times New Roman"/>
        <color rgb="FF00FFFF"/>
        <sz val="14.0"/>
      </rPr>
      <t xml:space="preserve">. Тема письма: "ПДП.250503.Фамилия" или "ПДП.150541.Фамилия" </t>
    </r>
  </si>
  <si>
    <t>250501</t>
  </si>
  <si>
    <t>Бондарев Кирилл Дмитриевич</t>
  </si>
  <si>
    <t>250505</t>
  </si>
  <si>
    <t>Боровенский Михаил Борисович</t>
  </si>
  <si>
    <t>Баранова Екатерина Александровна</t>
  </si>
  <si>
    <t>Кутовенко Михаил Игоревич</t>
  </si>
  <si>
    <t>Прокопенко Анастасия Сергеевна</t>
  </si>
  <si>
    <t>Панас Анна Алексеевна</t>
  </si>
  <si>
    <t>250502</t>
  </si>
  <si>
    <t>Мухин Константин Викторович</t>
  </si>
  <si>
    <t>Рудко Вадим Викторович</t>
  </si>
  <si>
    <t>Снитко Даниил Александрович</t>
  </si>
  <si>
    <t>Шапутько Артём Евгеньевич</t>
  </si>
  <si>
    <t>Борисенко Кирилл Николаевич</t>
  </si>
  <si>
    <t>Лазакович Владислав Игоревич</t>
  </si>
  <si>
    <t>Вадецкий Артём Юрьевич</t>
  </si>
  <si>
    <t>Павлович Антон Александрович</t>
  </si>
  <si>
    <t>Воропаев Даниил Дмитриевич</t>
  </si>
  <si>
    <t>Ерофеев Виктор Сергеевич</t>
  </si>
  <si>
    <t>Лукьянов Евгений Олегович</t>
  </si>
  <si>
    <t>Тапальский Станислав Дмитриевич</t>
  </si>
  <si>
    <t>задание на ПДП</t>
  </si>
  <si>
    <t>задание на дипломное проектирование</t>
  </si>
  <si>
    <t>№</t>
  </si>
  <si>
    <t>№ группы</t>
  </si>
  <si>
    <t>ФИО студента</t>
  </si>
  <si>
    <t>Руководители</t>
  </si>
  <si>
    <t>пояснительная записка (от введения до заключения минимум 75 страниц). к записке приложить к рабочей комиссии (антиплагиат не менее 75% уникальности, отзыв руководителя, если есть акт внедрения) в *.pdf</t>
  </si>
  <si>
    <t>графический материал (в *.pdf)</t>
  </si>
  <si>
    <t>ДОПУСК к Рабочей Комиссии</t>
  </si>
  <si>
    <t>Руководитель</t>
  </si>
  <si>
    <t>Консультант</t>
  </si>
  <si>
    <t>Титульный лист (ТЛ) ДП и ПДП</t>
  </si>
  <si>
    <t>Лист задания (ЛЗ)</t>
  </si>
  <si>
    <t>Содержание</t>
  </si>
  <si>
    <t>Введен</t>
  </si>
  <si>
    <t>Обзор литер-ы</t>
  </si>
  <si>
    <t>Систем проектир</t>
  </si>
  <si>
    <t>Функиц проектир</t>
  </si>
  <si>
    <t>Разработка программных модулей</t>
  </si>
  <si>
    <t>Программа и методика испытаний</t>
  </si>
  <si>
    <t>Руководство пользователя</t>
  </si>
  <si>
    <t>Экономическая часть</t>
  </si>
  <si>
    <r>
      <rPr>
        <rFont val="Times New Roman"/>
        <color theme="1"/>
        <sz val="10.0"/>
      </rPr>
      <t>Заключение по ДП</t>
    </r>
    <r>
      <rPr>
        <rFont val="Times New Roman"/>
        <color rgb="FFFFFFFF"/>
        <sz val="10.0"/>
      </rPr>
      <t xml:space="preserve"> min на 81</t>
    </r>
    <r>
      <rPr>
        <rFont val="Times New Roman"/>
        <color theme="1"/>
        <sz val="10.0"/>
      </rPr>
      <t xml:space="preserve"> странице</t>
    </r>
  </si>
  <si>
    <t>Список литер-ы</t>
  </si>
  <si>
    <t>Приложение (Спецификация)</t>
  </si>
  <si>
    <t>Приложение (Антиплагиат)</t>
  </si>
  <si>
    <t>Приложения (Ведомость документов)</t>
  </si>
  <si>
    <t>Вводн плакат</t>
  </si>
  <si>
    <t>Структур схема</t>
  </si>
  <si>
    <t>Диаграм классов</t>
  </si>
  <si>
    <t>Диаграмма последовательности</t>
  </si>
  <si>
    <t>Схема программы</t>
  </si>
  <si>
    <t>Заключительный плакат</t>
  </si>
  <si>
    <t>ДИСК</t>
  </si>
  <si>
    <t>Презентация</t>
  </si>
  <si>
    <t>допущено рк</t>
  </si>
  <si>
    <t>Абакумова Варвара Павловна</t>
  </si>
  <si>
    <t>Одинец Д.Н.</t>
  </si>
  <si>
    <t>Андрианов Вадим Анатольевич</t>
  </si>
  <si>
    <t>Силич С.С.</t>
  </si>
  <si>
    <t>-</t>
  </si>
  <si>
    <t>%</t>
  </si>
  <si>
    <t>Бабкова Анна Дмитриевна</t>
  </si>
  <si>
    <t>Ульянов Н.И.</t>
  </si>
  <si>
    <t>т</t>
  </si>
  <si>
    <t>(7.4)</t>
  </si>
  <si>
    <t>Баранов Павел Юрьевич</t>
  </si>
  <si>
    <t>Шеменков В.В.</t>
  </si>
  <si>
    <t>24 25</t>
  </si>
  <si>
    <t>Бекетова Мария Александровна</t>
  </si>
  <si>
    <t>Богдан Е.В.</t>
  </si>
  <si>
    <t>Болашенко Владимир Сергеевич</t>
  </si>
  <si>
    <t>Перцев Д.Ю.</t>
  </si>
  <si>
    <t>Скиба И.Г.</t>
  </si>
  <si>
    <t>Бондарович Павел Олегович</t>
  </si>
  <si>
    <t>Ковальчук А.М.</t>
  </si>
  <si>
    <t>подш</t>
  </si>
  <si>
    <t>Фролов И.И.</t>
  </si>
  <si>
    <t>145-161</t>
  </si>
  <si>
    <t>Бригадир Анна Сергеевна</t>
  </si>
  <si>
    <t>Стракович А.И.</t>
  </si>
  <si>
    <t>Бышнев Антон Александрович</t>
  </si>
  <si>
    <t>Селезнев А.И.</t>
  </si>
  <si>
    <t>77+</t>
  </si>
  <si>
    <t>Ковшер Е.И.</t>
  </si>
  <si>
    <t>тем</t>
  </si>
  <si>
    <t>Верховин Андрей Викторович</t>
  </si>
  <si>
    <t>Туровец Н.О.</t>
  </si>
  <si>
    <t>Волковский Артём Сергеевич</t>
  </si>
  <si>
    <t>Савчиц А.Г.</t>
  </si>
  <si>
    <t>Габриельчик Павел Владимирович</t>
  </si>
  <si>
    <t>Герасимович Вадим Сергеевич</t>
  </si>
  <si>
    <t>Глинский Илья Владимирович</t>
  </si>
  <si>
    <t>Кобяк И.П.</t>
  </si>
  <si>
    <t>. рис</t>
  </si>
  <si>
    <t>Гнетецкий Даниель Геннадьевич</t>
  </si>
  <si>
    <t>стр</t>
  </si>
  <si>
    <t>104 109 113</t>
  </si>
  <si>
    <t>Горбач Роман Дмитриевич</t>
  </si>
  <si>
    <t>Марзалюк А.В.</t>
  </si>
  <si>
    <t>Горох Андрей Александрович</t>
  </si>
  <si>
    <t>Марцинкевич В.А.</t>
  </si>
  <si>
    <t>[]</t>
  </si>
  <si>
    <t>Грибовская Александра Александровна</t>
  </si>
  <si>
    <t>Гулевич Владислав Александрович</t>
  </si>
  <si>
    <t>Татур М.М.</t>
  </si>
  <si>
    <t>Деркач Артём Юрьевич</t>
  </si>
  <si>
    <t>Дроздов Алексей Игоревич</t>
  </si>
  <si>
    <t>эк</t>
  </si>
  <si>
    <t>65+</t>
  </si>
  <si>
    <t>Жоголь Александр Олегович</t>
  </si>
  <si>
    <t>Зенькович Егор Михайлович</t>
  </si>
  <si>
    <t>(7.8)</t>
  </si>
  <si>
    <t>Зинович Иван Вячеславович</t>
  </si>
  <si>
    <t>Зорин Андрей Юрьевич</t>
  </si>
  <si>
    <t>Уласевич А.А.</t>
  </si>
  <si>
    <t>13 15</t>
  </si>
  <si>
    <t>55+</t>
  </si>
  <si>
    <t>Казаков Данила Максимович</t>
  </si>
  <si>
    <t>Смирнов Ю.В.</t>
  </si>
  <si>
    <t>Кананчук Тихон Антонович</t>
  </si>
  <si>
    <t>Каплич Валерия Александровна</t>
  </si>
  <si>
    <t>79 85+</t>
  </si>
  <si>
    <t>Кисель Даниил Дмитриевич</t>
  </si>
  <si>
    <t>Луцик Ю.А.</t>
  </si>
  <si>
    <t>Кнырович Алексей Владиславович</t>
  </si>
  <si>
    <t>Копейкина Виктория Анатольевна</t>
  </si>
  <si>
    <t>34 38</t>
  </si>
  <si>
    <t>78 80 83 88+</t>
  </si>
  <si>
    <t>Копылова Екатерина Сергеевна</t>
  </si>
  <si>
    <t>Коркотко Алексей Демьянович</t>
  </si>
  <si>
    <t>Глецевич И.И.</t>
  </si>
  <si>
    <t>РР</t>
  </si>
  <si>
    <t>т7.1</t>
  </si>
  <si>
    <t>Котик Алексей Романович</t>
  </si>
  <si>
    <t>Кочан Максим Вячеславович</t>
  </si>
  <si>
    <t>Кривеня Максим Алексеевич</t>
  </si>
  <si>
    <t>54 т один</t>
  </si>
  <si>
    <t>стиль 67ё</t>
  </si>
  <si>
    <t>Кубор Валерия Сергеевна</t>
  </si>
  <si>
    <t>э</t>
  </si>
  <si>
    <t>табл</t>
  </si>
  <si>
    <t>Чурило В.И.</t>
  </si>
  <si>
    <t>Левошко Артемий Юрьевич</t>
  </si>
  <si>
    <t>49 53 54</t>
  </si>
  <si>
    <t>61 63 68</t>
  </si>
  <si>
    <t>Лукьянчук Александр Сергеевич</t>
  </si>
  <si>
    <t>Воронов А.А.</t>
  </si>
  <si>
    <t>Мазур Станислав Сергеевич</t>
  </si>
  <si>
    <t>Внук О.М.</t>
  </si>
  <si>
    <t>Меша Илья Александрович</t>
  </si>
  <si>
    <t>Михайловский Александр Фёдорович</t>
  </si>
  <si>
    <t>ПД</t>
  </si>
  <si>
    <t>Николайчик Даниил Александрович</t>
  </si>
  <si>
    <t>Борисюк Ф.А.</t>
  </si>
  <si>
    <t>Лукьянова И.В.</t>
  </si>
  <si>
    <t>Паршуто Максим Эрнстович</t>
  </si>
  <si>
    <t>Петров Владислав Вячеславович</t>
  </si>
  <si>
    <t>Жалейко Д.А.</t>
  </si>
  <si>
    <t>41 52</t>
  </si>
  <si>
    <t>проб</t>
  </si>
  <si>
    <t>&lt;&lt;&gt;&gt;</t>
  </si>
  <si>
    <t>Петрович Тимофей Юрьевич</t>
  </si>
  <si>
    <t>17+</t>
  </si>
  <si>
    <t>Третьяков А.Г.</t>
  </si>
  <si>
    <t>Прокофьев Никита Игоревич</t>
  </si>
  <si>
    <t>32 43 46</t>
  </si>
  <si>
    <t>69 72</t>
  </si>
  <si>
    <t>Радкевич Никита Александрович</t>
  </si>
  <si>
    <t>V</t>
  </si>
  <si>
    <t>Рудько Тимофей Андреевич</t>
  </si>
  <si>
    <t>Хворостова Анастасия Юрьевна</t>
  </si>
  <si>
    <t>Хилько Иван Александрович</t>
  </si>
  <si>
    <t>Цвирко Егор Дмитриевич</t>
  </si>
  <si>
    <t>Шершнева Елена Сергеевна</t>
  </si>
  <si>
    <t>9 ё</t>
  </si>
  <si>
    <t>73+9</t>
  </si>
  <si>
    <t>спис</t>
  </si>
  <si>
    <t>Шпак Дмитрий Андреевич</t>
  </si>
  <si>
    <t>Карабан В.С.</t>
  </si>
  <si>
    <t>т3.15</t>
  </si>
  <si>
    <t>Шпаковский Павел Игоревич</t>
  </si>
  <si>
    <t>ё</t>
  </si>
  <si>
    <t>Щербаков Даниил Игоревич</t>
  </si>
  <si>
    <r>
      <rPr>
        <rFont val="Times New Roman"/>
        <color theme="1"/>
        <sz val="10.0"/>
      </rPr>
      <t>Заключение по ДП</t>
    </r>
    <r>
      <rPr>
        <rFont val="Times New Roman"/>
        <color rgb="FFFFFFFF"/>
        <sz val="10.0"/>
      </rPr>
      <t xml:space="preserve"> min на 81 </t>
    </r>
    <r>
      <rPr>
        <rFont val="Times New Roman"/>
        <color theme="1"/>
        <sz val="10.0"/>
      </rPr>
      <t>странице</t>
    </r>
  </si>
  <si>
    <t>250504</t>
  </si>
  <si>
    <t>Алхава Руслан Абдулькаримович</t>
  </si>
  <si>
    <t>Антоненко Александр Владимирович</t>
  </si>
  <si>
    <t>Борисевич Матвей Игоревич</t>
  </si>
  <si>
    <t>Василевич Дмитрий Викторович</t>
  </si>
  <si>
    <t>Вильчинский Вадим Сергеевич</t>
  </si>
  <si>
    <t>Гутковский Артем Сергеевич</t>
  </si>
  <si>
    <t>Дмитриев Павел Андреевич</t>
  </si>
  <si>
    <t>Закоркин Илья Денисович</t>
  </si>
  <si>
    <t>Никульшин Б.В.</t>
  </si>
  <si>
    <t>Ильюшевич Владислав Сергеевич</t>
  </si>
  <si>
    <t>Кабачевский Дмитрий Вячеславович</t>
  </si>
  <si>
    <t>Казаченко Павел Евгеньевич</t>
  </si>
  <si>
    <t>Кароткая Полина Сергеевна</t>
  </si>
  <si>
    <t>Лагодич Илья Романович</t>
  </si>
  <si>
    <t>Лешок Даниил Андреевич</t>
  </si>
  <si>
    <t>Мальченко Артём Евгеньевич</t>
  </si>
  <si>
    <t>Манько Иван Кириллович</t>
  </si>
  <si>
    <t>Моисеев Владислав Сергеевич</t>
  </si>
  <si>
    <t>Наркевич Артем Сергеевич</t>
  </si>
  <si>
    <t>Пигулевский Константин Сергеевич</t>
  </si>
  <si>
    <t>Поденок Л.П.</t>
  </si>
  <si>
    <t>Русецкий Леонид Максимович</t>
  </si>
  <si>
    <t>Слинько Артём Геннадьевич</t>
  </si>
  <si>
    <t>Куприянова Д.В.</t>
  </si>
  <si>
    <t>Солодков Максим Дмитриевич</t>
  </si>
  <si>
    <t>Спасёнов Юрий Леонидович</t>
  </si>
  <si>
    <t>Таврель Максим Дмитриевич</t>
  </si>
  <si>
    <t>Тарбаев Дмитрий Сергеевич</t>
  </si>
  <si>
    <t>Хвесько Павел Сергеевич</t>
  </si>
  <si>
    <t>Шалль Герман Эдуардович</t>
  </si>
  <si>
    <t>Щербо Павел Андреевич</t>
  </si>
  <si>
    <t>Русин В.Г.</t>
  </si>
  <si>
    <r>
      <rPr>
        <rFont val="Times New Roman"/>
        <color theme="1"/>
        <sz val="10.0"/>
      </rPr>
      <t>Заключение по ДП</t>
    </r>
    <r>
      <rPr>
        <rFont val="Times New Roman"/>
        <color rgb="FFFFFFFF"/>
        <sz val="10.0"/>
      </rPr>
      <t xml:space="preserve"> min на 81 </t>
    </r>
    <r>
      <rPr>
        <rFont val="Times New Roman"/>
        <color theme="1"/>
        <sz val="10.0"/>
      </rPr>
      <t>странице</t>
    </r>
  </si>
  <si>
    <t>250503</t>
  </si>
  <si>
    <t>Бакунович Никита Андреевич</t>
  </si>
  <si>
    <t>150541</t>
  </si>
  <si>
    <t>Борсук Константин Викторович</t>
  </si>
  <si>
    <t>Ващило Александр Михайлович</t>
  </si>
  <si>
    <t>Велич Никита Олегович</t>
  </si>
  <si>
    <t>Говор Павел Сергеевич</t>
  </si>
  <si>
    <t>41-42</t>
  </si>
  <si>
    <t>Гомон Валерия Андреевна</t>
  </si>
  <si>
    <t>Горчаков Никита Сергеевич</t>
  </si>
  <si>
    <t>поле</t>
  </si>
  <si>
    <t>Гусаков Святослав</t>
  </si>
  <si>
    <t>Демидович Руслан Сергеевич</t>
  </si>
  <si>
    <t>26 28</t>
  </si>
  <si>
    <t>Дубовский Матвей Александрович</t>
  </si>
  <si>
    <t>Дулинец Вадим Геннадьевич</t>
  </si>
  <si>
    <t>Дылевский Егор Олегович</t>
  </si>
  <si>
    <t>нумер</t>
  </si>
  <si>
    <t>Ермоленко Артём Алексеевич</t>
  </si>
  <si>
    <t>62-64 72</t>
  </si>
  <si>
    <t>Жуковская Вероника Кирилловна</t>
  </si>
  <si>
    <t>Золотницкий Алексей Андреевич</t>
  </si>
  <si>
    <t xml:space="preserve">                                                      </t>
  </si>
  <si>
    <t>Допуск</t>
  </si>
  <si>
    <t>Каражан Ксения Александровна</t>
  </si>
  <si>
    <t>Кипень Владислав Викторович</t>
  </si>
  <si>
    <t>Селезнев И.Л.</t>
  </si>
  <si>
    <t>Коледа Анна Валерьевна</t>
  </si>
  <si>
    <t>таблицы</t>
  </si>
  <si>
    <t>Контанистов Иван Александрович</t>
  </si>
  <si>
    <t>.</t>
  </si>
  <si>
    <t>заголовки</t>
  </si>
  <si>
    <t>Корзун Ксения Игоревна</t>
  </si>
  <si>
    <t>Кузьмин Дмитрий Сергеевич</t>
  </si>
  <si>
    <t>Курдеко Никита Андреевич</t>
  </si>
  <si>
    <t>Курчицкий Глеб Анатольевич</t>
  </si>
  <si>
    <t>Лемешонок Дмитрий Андреевич</t>
  </si>
  <si>
    <t>Мащенко Артур Витальевич</t>
  </si>
  <si>
    <t>формулы</t>
  </si>
  <si>
    <t>Мелюх Евгений Сергеевич</t>
  </si>
  <si>
    <t>Можейко Дмитрий Олегович</t>
  </si>
  <si>
    <t>Мынзул Александр Эдуардович</t>
  </si>
  <si>
    <t>Нестеренко Кирилл Эдуардович</t>
  </si>
  <si>
    <t>Николаев Иван Ярославович</t>
  </si>
  <si>
    <t>Осинин Иван Николаевич</t>
  </si>
  <si>
    <t>Патюпин Михаил Сергеевич</t>
  </si>
  <si>
    <t>списки 2</t>
  </si>
  <si>
    <t>Потейчук Олег Валентинович</t>
  </si>
  <si>
    <t>12, -</t>
  </si>
  <si>
    <t>курьер,40,45</t>
  </si>
  <si>
    <t>курьер</t>
  </si>
  <si>
    <t>рисунки</t>
  </si>
  <si>
    <t>Приловский Виктор Витальевич</t>
  </si>
  <si>
    <t>нумерация</t>
  </si>
  <si>
    <t>Прокопюк Ульяна Викторовна</t>
  </si>
  <si>
    <t>поля</t>
  </si>
  <si>
    <t>Рожков Антон Николаевич</t>
  </si>
  <si>
    <t>рис</t>
  </si>
  <si>
    <t>Рыбак Феона Игоревна</t>
  </si>
  <si>
    <t>Савинич Тимофей Максимович</t>
  </si>
  <si>
    <t>Самсонов Евгений Сергеевич</t>
  </si>
  <si>
    <t>Шашок В.И.</t>
  </si>
  <si>
    <t>рамки</t>
  </si>
  <si>
    <t>ссылки</t>
  </si>
  <si>
    <t>Хорошун Никита Андреевич</t>
  </si>
  <si>
    <t>Черняк Станислав Сергеевич</t>
  </si>
  <si>
    <t>Шагун Денис Валерьевич</t>
  </si>
  <si>
    <t>Шах Евгений Дмитриевич</t>
  </si>
  <si>
    <r>
      <rPr>
        <rFont val="Times New Roman"/>
        <b/>
        <color rgb="FFFFFFFF"/>
        <sz val="14.0"/>
      </rPr>
      <t>24.03.2025-06.04.2025</t>
    </r>
    <r>
      <rPr>
        <rFont val="Times New Roman"/>
        <color rgb="FFFFFFFF"/>
        <sz val="12.0"/>
      </rPr>
      <t xml:space="preserve"> </t>
    </r>
    <r>
      <rPr>
        <rFont val="Times New Roman"/>
        <color rgb="FF00FF00"/>
        <sz val="12.0"/>
      </rPr>
      <t>(период отправки электронного варианта)</t>
    </r>
  </si>
  <si>
    <r>
      <rPr>
        <rFont val="Times New Roman"/>
        <b/>
        <color rgb="FFFFFFFF"/>
        <sz val="14.0"/>
      </rPr>
      <t>07.04.2025-11.04.2025</t>
    </r>
    <r>
      <rPr>
        <rFont val="Times New Roman"/>
        <color rgb="FF00FF00"/>
        <sz val="12.0"/>
      </rPr>
      <t>(период отправки электронного варианта)</t>
    </r>
  </si>
  <si>
    <r>
      <rPr>
        <rFont val="Times New Roman"/>
        <b/>
        <color rgb="FFFFFFFF"/>
        <sz val="14.0"/>
      </rPr>
      <t>14.04.2025-18.04.2025</t>
    </r>
    <r>
      <rPr>
        <rFont val="Times New Roman"/>
        <color rgb="FFFFFFFF"/>
        <sz val="12.0"/>
      </rPr>
      <t xml:space="preserve"> </t>
    </r>
    <r>
      <rPr>
        <rFont val="Times New Roman"/>
        <color rgb="FFFF00FF"/>
        <sz val="12.0"/>
      </rPr>
      <t xml:space="preserve">(только очный и бумажный вариант, </t>
    </r>
    <r>
      <rPr>
        <rFont val="Times New Roman"/>
        <i/>
        <color rgb="FFFF00FF"/>
        <sz val="12.0"/>
      </rPr>
      <t>исключение для тех, кто проходит практику не в г. Минске</t>
    </r>
    <r>
      <rPr>
        <rFont val="Times New Roman"/>
        <color rgb="FFFF00FF"/>
        <sz val="12.0"/>
      </rPr>
      <t>)</t>
    </r>
  </si>
  <si>
    <t>15.04.2025                                                      17.04.2025    18.04.2025</t>
  </si>
  <si>
    <t>14:00-15:50</t>
  </si>
  <si>
    <r>
      <rPr>
        <rFont val="Times New Roman"/>
        <b/>
        <color rgb="FFFFFFFF"/>
        <sz val="14.0"/>
      </rPr>
      <t>21.04.2025-25.04.2025</t>
    </r>
    <r>
      <rPr>
        <rFont val="Times New Roman"/>
        <color rgb="FFFFFFFF"/>
        <sz val="12.0"/>
      </rPr>
      <t xml:space="preserve"> </t>
    </r>
    <r>
      <rPr>
        <rFont val="Times New Roman"/>
        <b/>
        <color rgb="FFFF0000"/>
        <sz val="12.0"/>
      </rPr>
      <t>Финальная проверка только в очном и бумажном варианте отчетов по ПДП</t>
    </r>
  </si>
  <si>
    <t>22.04.2025                                       24.04.2025                         25.04.2025</t>
  </si>
  <si>
    <t>12:00-13:45                                   14:00-15:30                                             14:00-16:30</t>
  </si>
  <si>
    <r>
      <rPr>
        <rFont val="Times New Roman"/>
        <b/>
        <color rgb="FFFFFFFF"/>
        <sz val="12.0"/>
      </rPr>
      <t xml:space="preserve">28.04.2025-02.05.2025 </t>
    </r>
    <r>
      <rPr>
        <rFont val="Times New Roman"/>
        <b/>
        <color rgb="FFFF0000"/>
        <sz val="12.0"/>
      </rPr>
      <t>Финальная проверка только в очном и бумажном варианте отчетов по ПДП</t>
    </r>
    <r>
      <rPr>
        <rFont val="Times New Roman"/>
        <b/>
        <color rgb="FFFFFFFF"/>
        <sz val="12.0"/>
      </rPr>
      <t xml:space="preserve">. </t>
    </r>
    <r>
      <rPr>
        <rFont val="Times New Roman"/>
        <b/>
        <color rgb="FF00FF00"/>
        <sz val="12.0"/>
      </rPr>
      <t>Проверка следующих разделов ДП</t>
    </r>
    <r>
      <rPr>
        <rFont val="Times New Roman"/>
        <b/>
        <color rgb="FFFFFF00"/>
        <sz val="12.0"/>
      </rPr>
      <t xml:space="preserve">                                    (только очный бумажный вариант). </t>
    </r>
  </si>
  <si>
    <t>28.04.2025.                                     30.04.2025.                                     02.05.2025</t>
  </si>
  <si>
    <t>15:00-17:00.                                           12:00-14:00.                            11:00-12:20 14:00-15:00</t>
  </si>
  <si>
    <t>02.05.2025 до 13:00 преподаватели закрывают ведомости по практике. Руководителю заранее необходимо передать: отчет со всеми подписями на титульнике ПДП, дневник со всеми подписями и печатями и зачетную книжку. Договариваетесь со своим руководителем вы самостоятельно. Документы перечисленные выше нам отдает руководитель.ю когда придет выставлять оценку в ведомость</t>
  </si>
  <si>
    <r>
      <rPr>
        <rFont val="Times New Roman"/>
        <b/>
        <color rgb="FFFFFFFF"/>
        <sz val="12.0"/>
      </rPr>
      <t xml:space="preserve">05.05.2025-08.05.2025 </t>
    </r>
    <r>
      <rPr>
        <rFont val="Times New Roman"/>
        <b/>
        <color rgb="FFFFFF00"/>
        <sz val="12.0"/>
      </rPr>
      <t>(только очный бумажный вариант)</t>
    </r>
  </si>
  <si>
    <t>06.05.2025                                        08.05.2025</t>
  </si>
  <si>
    <t>12:00-13:45                                                  14:00-15:20</t>
  </si>
  <si>
    <r>
      <rPr>
        <rFont val="Times New Roman"/>
        <b/>
        <color rgb="FFFFFFFF"/>
        <sz val="12.0"/>
      </rPr>
      <t xml:space="preserve">12.05.2025-16.05.2025 </t>
    </r>
    <r>
      <rPr>
        <rFont val="Times New Roman"/>
        <b/>
        <color rgb="FFFFFF00"/>
        <sz val="12.0"/>
      </rPr>
      <t>(только очный бумажный вариант)</t>
    </r>
  </si>
  <si>
    <t>13.05.2025                                                 15.05.2025                                    16.05.2025</t>
  </si>
  <si>
    <t>14:00-15:20                                         14:00-15:20                                        14:00-15:20</t>
  </si>
  <si>
    <r>
      <rPr>
        <rFont val="Times New Roman"/>
        <b/>
        <color rgb="FFFFFFFF"/>
        <sz val="12.0"/>
      </rPr>
      <t xml:space="preserve">19.05.2025-23.05.2025 </t>
    </r>
    <r>
      <rPr>
        <rFont val="Times New Roman"/>
        <b/>
        <color rgb="FFFFFF00"/>
        <sz val="12.0"/>
      </rPr>
      <t>(только очный бумажный вариант)</t>
    </r>
  </si>
  <si>
    <t>20.05.2025                                                                           21.05.2025.                                    22.05.2025</t>
  </si>
  <si>
    <t>12:25-14:05                                     12:25-17:30.                            12:00-14:00</t>
  </si>
  <si>
    <r>
      <rPr>
        <rFont val="Times New Roman"/>
        <b/>
        <color rgb="FFFFFFFF"/>
        <sz val="12.0"/>
      </rPr>
      <t xml:space="preserve">26.05.2025-29.05.2025 </t>
    </r>
    <r>
      <rPr>
        <rFont val="Times New Roman"/>
        <b/>
        <color rgb="FFFFFF00"/>
        <sz val="12.0"/>
      </rPr>
      <t>(только очный бумажный вариант)</t>
    </r>
  </si>
  <si>
    <t xml:space="preserve">27.05.2025                                                              28.05.2025                                              29.05.2025             </t>
  </si>
  <si>
    <t>14:00-15:45                                                       12:00-13:55                                                                     15:00-19:00</t>
  </si>
  <si>
    <r>
      <rPr>
        <rFont val="Times New Roman"/>
        <color rgb="FF00FFFF"/>
        <sz val="14.0"/>
      </rPr>
      <t xml:space="preserve">Электронная почта: </t>
    </r>
    <r>
      <rPr>
        <rFont val="Times New Roman"/>
        <color rgb="FFFFFFFF"/>
        <sz val="14.0"/>
      </rPr>
      <t>elizavetakovsher@mail.ru</t>
    </r>
    <r>
      <rPr>
        <rFont val="Times New Roman"/>
        <color rgb="FF00FFFF"/>
        <sz val="14.0"/>
      </rPr>
      <t xml:space="preserve">. Тема письма: "ПДП.050541.Фамилия" </t>
    </r>
  </si>
  <si>
    <r>
      <rPr>
        <rFont val="Times New Roman"/>
        <color theme="1"/>
        <sz val="10.0"/>
      </rPr>
      <t>Заключение по ДП</t>
    </r>
    <r>
      <rPr>
        <rFont val="Times New Roman"/>
        <color rgb="FFFF0000"/>
        <sz val="10.0"/>
      </rPr>
      <t xml:space="preserve"> min на 81 странице</t>
    </r>
  </si>
  <si>
    <t>Приложение (спецификация)</t>
  </si>
  <si>
    <t>Приложения (ведомость документов)</t>
  </si>
  <si>
    <t>Приложение (презентация)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</si>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</sst>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.mm.yyyy"/>
    <numFmt numFmtId="165" formatCode="m/d/yyyy h:mm:ss"/>
    <numFmt numFmtId="166" formatCode="d-m"/>
  </numFmts>
  <fonts count="44">
    <font>
      <sz val="10.0"/>
      <color rgb="FF000000"/>
      <name val="Arial"/>
      <scheme val="minor"/>
    </font>
    <font>
      <b/>
      <sz val="18.0"/>
      <color rgb="FFFF00FF"/>
      <name val="Times New Roman"/>
    </font>
    <font/>
    <font>
      <b/>
      <sz val="13.0"/>
      <color rgb="FFFFFFFF"/>
      <name val="Times New Roman"/>
    </font>
    <font>
      <sz val="12.0"/>
      <color theme="1"/>
      <name val="Times New Roman"/>
    </font>
    <font>
      <u/>
      <sz val="12.0"/>
      <color rgb="FF0000FF"/>
      <name val="Times New Roman"/>
    </font>
    <font>
      <b/>
      <sz val="12.0"/>
      <color theme="1"/>
      <name val="Times New Roman"/>
    </font>
    <font>
      <u/>
      <sz val="12.0"/>
      <color rgb="FF0000FF"/>
      <name val="Times New Roman"/>
    </font>
    <font>
      <color theme="1"/>
      <name val="Arial"/>
    </font>
    <font>
      <sz val="14.0"/>
      <color rgb="FFFFFF00"/>
      <name val="Times New Roman"/>
    </font>
    <font>
      <b/>
      <sz val="18.0"/>
      <color rgb="FF00FF00"/>
      <name val="Times New Roman"/>
    </font>
    <font>
      <b/>
      <sz val="12.0"/>
      <color rgb="FFFFFFFF"/>
      <name val="Times New Roman"/>
    </font>
    <font>
      <b/>
      <sz val="13.0"/>
      <color rgb="FFFFFF00"/>
      <name val="Times New Roman"/>
    </font>
    <font>
      <b/>
      <sz val="13.0"/>
      <color rgb="FFFF9900"/>
      <name val="Times New Roman"/>
    </font>
    <font>
      <b/>
      <sz val="13.0"/>
      <color rgb="FF00FFFF"/>
      <name val="Times New Roman"/>
    </font>
    <font>
      <b/>
      <sz val="17.0"/>
      <color rgb="FFFFFFFF"/>
      <name val="Times New Roman"/>
    </font>
    <font>
      <sz val="12.0"/>
      <color rgb="FFFFFFFF"/>
      <name val="Times New Roman"/>
    </font>
    <font>
      <b/>
      <sz val="21.0"/>
      <color theme="1"/>
      <name val="Times New Roman"/>
    </font>
    <font>
      <sz val="21.0"/>
      <color rgb="FFFFFF00"/>
      <name val="Times New Roman"/>
    </font>
    <font>
      <sz val="12.0"/>
      <color rgb="FFFF0000"/>
      <name val="Times New Roman"/>
    </font>
    <font>
      <b/>
      <sz val="13.0"/>
      <color rgb="FF000000"/>
      <name val="Times New Roman"/>
    </font>
    <font>
      <b/>
      <sz val="13.0"/>
      <color theme="1"/>
      <name val="Times New Roman"/>
    </font>
    <font>
      <b/>
      <sz val="14.0"/>
      <color rgb="FFFFFFFF"/>
      <name val="Times New Roman"/>
    </font>
    <font>
      <sz val="14.0"/>
      <color rgb="FFFF9900"/>
      <name val="Times New Roman"/>
    </font>
    <font>
      <sz val="14.0"/>
      <color rgb="FF00FFFF"/>
      <name val="Times New Roman"/>
    </font>
    <font>
      <color theme="1"/>
      <name val="Arial"/>
      <scheme val="minor"/>
    </font>
    <font>
      <sz val="14.0"/>
      <color theme="1"/>
      <name val="Arial"/>
    </font>
    <font>
      <b/>
      <sz val="18.0"/>
      <color rgb="FFFFFFFF"/>
      <name val="Times New Roman"/>
    </font>
    <font>
      <b/>
      <sz val="11.0"/>
      <color rgb="FF000000"/>
      <name val="Times New Roman"/>
    </font>
    <font>
      <color theme="1"/>
      <name val="Times New Roman"/>
    </font>
    <font>
      <b/>
      <color theme="1"/>
      <name val="Times New Roman"/>
    </font>
    <font>
      <sz val="9.0"/>
      <color theme="1"/>
      <name val="Times New Roman"/>
    </font>
    <font>
      <b/>
      <sz val="10.0"/>
      <color theme="1"/>
      <name val="Times New Roman"/>
    </font>
    <font>
      <sz val="10.0"/>
      <color theme="1"/>
      <name val="Times New Roman"/>
    </font>
    <font>
      <sz val="11.0"/>
      <color theme="1"/>
      <name val="Times New Roman"/>
    </font>
    <font>
      <sz val="9.0"/>
      <color theme="1"/>
      <name val="Arial"/>
    </font>
    <font>
      <strike/>
      <sz val="12.0"/>
      <color theme="1"/>
      <name val="Times New Roman"/>
    </font>
    <font>
      <sz val="9.0"/>
      <color rgb="FF000000"/>
      <name val="Times New Roman"/>
    </font>
    <font>
      <sz val="8.0"/>
      <color theme="1"/>
      <name val="Times New Roman"/>
    </font>
    <font>
      <sz val="9.0"/>
      <color rgb="FFFFFFFF"/>
      <name val="Times New Roman"/>
    </font>
    <font>
      <sz val="6.0"/>
      <color theme="1"/>
      <name val="Times New Roman"/>
    </font>
    <font>
      <sz val="7.0"/>
      <color theme="1"/>
      <name val="Times New Roman"/>
    </font>
    <font>
      <sz val="5.0"/>
      <color theme="1"/>
      <name val="Times New Roman"/>
    </font>
    <font>
      <b/>
      <sz val="18.0"/>
      <color rgb="FF00FFFF"/>
      <name val="Times New Roman"/>
    </font>
  </fonts>
  <fills count="2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EA82EA"/>
        <bgColor rgb="FFEA82EA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434343"/>
        <bgColor rgb="FF434343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theme="5"/>
        <bgColor theme="5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  <fill>
      <patternFill patternType="solid">
        <fgColor rgb="FF980000"/>
        <bgColor rgb="FF980000"/>
      </patternFill>
    </fill>
    <fill>
      <patternFill patternType="solid">
        <fgColor rgb="FF274E13"/>
        <bgColor rgb="FF274E13"/>
      </patternFill>
    </fill>
    <fill>
      <patternFill patternType="solid">
        <fgColor rgb="FF6AA84F"/>
        <bgColor rgb="FF6AA84F"/>
      </patternFill>
    </fill>
    <fill>
      <patternFill patternType="solid">
        <fgColor rgb="FFC9DAF8"/>
        <bgColor rgb="FFC9DAF8"/>
      </patternFill>
    </fill>
    <fill>
      <patternFill patternType="solid">
        <fgColor theme="7"/>
        <bgColor theme="7"/>
      </patternFill>
    </fill>
    <fill>
      <patternFill patternType="solid">
        <fgColor rgb="FFB6D7A8"/>
        <bgColor rgb="FFB6D7A8"/>
      </patternFill>
    </fill>
    <fill>
      <patternFill patternType="solid">
        <fgColor rgb="FFD0E0E3"/>
        <bgColor rgb="FFD0E0E3"/>
      </patternFill>
    </fill>
    <fill>
      <patternFill patternType="solid">
        <fgColor rgb="FF38761D"/>
        <bgColor rgb="FF38761D"/>
      </patternFill>
    </fill>
    <fill>
      <patternFill patternType="solid">
        <fgColor rgb="FFA4C2F4"/>
        <bgColor rgb="FFA4C2F4"/>
      </patternFill>
    </fill>
  </fills>
  <borders count="51">
    <border/>
    <border>
      <left style="double">
        <color rgb="FF000000"/>
      </lef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thick">
        <color rgb="FF000000"/>
      </left>
      <top style="thick">
        <color rgb="FF000000"/>
      </top>
    </border>
    <border>
      <left style="thick">
        <color rgb="FF000000"/>
      </left>
      <top style="thick">
        <color rgb="FF000000"/>
      </top>
      <bottom style="double">
        <color rgb="FF000000"/>
      </bottom>
    </border>
    <border>
      <left style="double">
        <color rgb="FF000000"/>
      </left>
      <top style="thick">
        <color rgb="FF000000"/>
      </top>
      <bottom style="double">
        <color rgb="FF000000"/>
      </bottom>
    </border>
    <border>
      <left style="double">
        <color rgb="FF000000"/>
      </left>
      <right style="thick">
        <color rgb="FF000000"/>
      </right>
      <top style="thick">
        <color rgb="FF000000"/>
      </top>
      <bottom style="double">
        <color rgb="FF000000"/>
      </bottom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left style="thick">
        <color rgb="FF000000"/>
      </left>
      <top style="double">
        <color rgb="FF000000"/>
      </top>
      <bottom style="double">
        <color rgb="FF000000"/>
      </bottom>
    </border>
    <border>
      <right style="thick">
        <color rgb="FF000000"/>
      </right>
      <top style="double">
        <color rgb="FF000000"/>
      </top>
      <bottom style="double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thick">
        <color rgb="FF000000"/>
      </right>
      <top style="double">
        <color rgb="FF000000"/>
      </top>
      <bottom style="double">
        <color rgb="FF000000"/>
      </bottom>
    </border>
    <border>
      <right style="thick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thick">
        <color rgb="FF000000"/>
      </bottom>
    </border>
    <border>
      <left style="thick">
        <color rgb="FF000000"/>
      </left>
      <bottom style="double">
        <color rgb="FF000000"/>
      </bottom>
    </border>
    <border>
      <bottom style="double">
        <color rgb="FF000000"/>
      </bottom>
    </border>
    <border>
      <right style="thick">
        <color rgb="FF000000"/>
      </right>
      <bottom style="double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right style="double">
        <color rgb="FF000000"/>
      </right>
      <top style="thick">
        <color rgb="FF000000"/>
      </top>
    </border>
    <border>
      <left style="double">
        <color rgb="FF000000"/>
      </left>
      <right style="thick">
        <color rgb="FF000000"/>
      </right>
      <top style="thick">
        <color rgb="FF000000"/>
      </top>
    </border>
    <border>
      <top style="thick">
        <color rgb="FF000000"/>
      </top>
    </border>
    <border>
      <top style="thick">
        <color rgb="FF000000"/>
      </top>
      <bottom style="double">
        <color rgb="FF000000"/>
      </bottom>
    </border>
    <border>
      <right style="double">
        <color rgb="FF000000"/>
      </right>
      <top style="thick">
        <color rgb="FF000000"/>
      </top>
      <bottom style="double">
        <color rgb="FF000000"/>
      </bottom>
    </border>
    <border>
      <left style="double">
        <color rgb="FF000000"/>
      </left>
      <right style="double">
        <color rgb="FF000000"/>
      </right>
      <top style="thick">
        <color rgb="FF000000"/>
      </top>
      <bottom style="double">
        <color rgb="FF000000"/>
      </bottom>
    </border>
    <border>
      <left style="thick">
        <color rgb="FF000000"/>
      </left>
      <right style="double">
        <color rgb="FF000000"/>
      </right>
      <bottom style="double">
        <color rgb="FF000000"/>
      </bottom>
    </border>
    <border>
      <right style="double">
        <color rgb="FF000000"/>
      </right>
      <bottom style="thick">
        <color rgb="FF000000"/>
      </bottom>
    </border>
    <border>
      <left style="double">
        <color rgb="FF000000"/>
      </left>
      <right style="thick">
        <color rgb="FF000000"/>
      </right>
      <bottom style="thick">
        <color rgb="FF000000"/>
      </bottom>
    </border>
    <border>
      <left style="double">
        <color rgb="FF000000"/>
      </left>
      <right style="thick">
        <color rgb="FF000000"/>
      </right>
      <top style="double">
        <color rgb="FF000000"/>
      </top>
    </border>
    <border>
      <right style="double">
        <color rgb="FF000000"/>
      </right>
      <top style="double">
        <color rgb="FF000000"/>
      </top>
      <bottom style="thick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left style="double">
        <color rgb="FF000000"/>
      </left>
      <right style="double">
        <color rgb="FF000000"/>
      </right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double">
        <color rgb="FF000000"/>
      </left>
      <right style="thick">
        <color rgb="FF000000"/>
      </right>
      <bottom style="double">
        <color rgb="FF000000"/>
      </bottom>
    </border>
    <border>
      <left style="double">
        <color rgb="FF000000"/>
      </left>
      <right style="thick">
        <color rgb="FF000000"/>
      </right>
      <top style="double">
        <color rgb="FF000000"/>
      </top>
      <bottom style="thick">
        <color rgb="FF000000"/>
      </bottom>
    </border>
    <border>
      <left style="double">
        <color rgb="FF000000"/>
      </left>
      <bottom style="thick">
        <color rgb="FF000000"/>
      </bottom>
    </border>
    <border>
      <left style="double">
        <color rgb="FF000000"/>
      </left>
      <bottom style="double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2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left" readingOrder="0" shrinkToFit="0" vertical="center" wrapText="1"/>
    </xf>
    <xf borderId="1" fillId="3" fontId="4" numFmtId="0" xfId="0" applyAlignment="1" applyBorder="1" applyFill="1" applyFont="1">
      <alignment horizontal="left" readingOrder="0" shrinkToFit="0" vertical="center" wrapText="1"/>
    </xf>
    <xf borderId="4" fillId="0" fontId="4" numFmtId="0" xfId="0" applyAlignment="1" applyBorder="1" applyFont="1">
      <alignment horizontal="left" readingOrder="0" shrinkToFit="0" vertical="center" wrapText="1"/>
    </xf>
    <xf borderId="1" fillId="4" fontId="4" numFmtId="0" xfId="0" applyAlignment="1" applyBorder="1" applyFill="1" applyFont="1">
      <alignment horizontal="left" readingOrder="0" shrinkToFit="0" vertical="center" wrapText="1"/>
    </xf>
    <xf borderId="1" fillId="5" fontId="6" numFmtId="0" xfId="0" applyAlignment="1" applyBorder="1" applyFill="1" applyFont="1">
      <alignment horizontal="center" readingOrder="0" shrinkToFit="0" vertical="center" wrapText="1"/>
    </xf>
    <xf borderId="4" fillId="0" fontId="4" numFmtId="0" xfId="0" applyAlignment="1" applyBorder="1" applyFont="1">
      <alignment readingOrder="0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4" fillId="0" fontId="4" numFmtId="0" xfId="0" applyAlignment="1" applyBorder="1" applyFont="1">
      <alignment readingOrder="0" shrinkToFit="0" wrapText="1"/>
    </xf>
    <xf borderId="4" fillId="0" fontId="7" numFmtId="0" xfId="0" applyAlignment="1" applyBorder="1" applyFont="1">
      <alignment horizontal="center" readingOrder="0" shrinkToFit="0" wrapText="1"/>
    </xf>
    <xf borderId="4" fillId="0" fontId="8" numFmtId="0" xfId="0" applyBorder="1" applyFont="1"/>
    <xf borderId="0" fillId="2" fontId="9" numFmtId="0" xfId="0" applyAlignment="1" applyFont="1">
      <alignment horizontal="left" readingOrder="0" shrinkToFit="0" vertical="center" wrapText="1"/>
    </xf>
    <xf borderId="0" fillId="2" fontId="10" numFmtId="0" xfId="0" applyAlignment="1" applyFont="1">
      <alignment horizontal="center" readingOrder="0" shrinkToFit="0" vertical="center" wrapText="1"/>
    </xf>
    <xf borderId="1" fillId="2" fontId="10" numFmtId="0" xfId="0" applyAlignment="1" applyBorder="1" applyFont="1">
      <alignment horizontal="center" readingOrder="0" shrinkToFit="0" vertical="center" wrapText="1"/>
    </xf>
    <xf borderId="0" fillId="2" fontId="11" numFmtId="0" xfId="0" applyAlignment="1" applyFont="1">
      <alignment horizontal="center" readingOrder="0" shrinkToFit="0" vertical="center" wrapText="1"/>
    </xf>
    <xf borderId="0" fillId="2" fontId="3" numFmtId="0" xfId="0" applyAlignment="1" applyFont="1">
      <alignment horizontal="center" readingOrder="0" shrinkToFit="0" vertical="center" wrapText="1"/>
    </xf>
    <xf borderId="5" fillId="2" fontId="12" numFmtId="0" xfId="0" applyAlignment="1" applyBorder="1" applyFont="1">
      <alignment horizontal="center" readingOrder="0" shrinkToFit="0" vertical="center" wrapText="1"/>
    </xf>
    <xf borderId="6" fillId="0" fontId="2" numFmtId="0" xfId="0" applyBorder="1" applyFont="1"/>
    <xf borderId="7" fillId="0" fontId="2" numFmtId="0" xfId="0" applyBorder="1" applyFont="1"/>
    <xf borderId="5" fillId="2" fontId="13" numFmtId="0" xfId="0" applyAlignment="1" applyBorder="1" applyFont="1">
      <alignment horizontal="center" readingOrder="0" shrinkToFit="0" vertical="center" wrapText="1"/>
    </xf>
    <xf borderId="5" fillId="2" fontId="14" numFmtId="0" xfId="0" applyAlignment="1" applyBorder="1" applyFont="1">
      <alignment horizontal="center" readingOrder="0" shrinkToFit="0" vertical="center" wrapText="1"/>
    </xf>
    <xf borderId="0" fillId="2" fontId="15" numFmtId="0" xfId="0" applyAlignment="1" applyFont="1">
      <alignment horizontal="center" readingOrder="0" shrinkToFit="0" textRotation="90" vertical="center" wrapText="1"/>
    </xf>
    <xf borderId="8" fillId="2" fontId="16" numFmtId="0" xfId="0" applyAlignment="1" applyBorder="1" applyFont="1">
      <alignment horizontal="left" readingOrder="0" shrinkToFit="0" vertical="center" wrapText="1"/>
    </xf>
    <xf borderId="9" fillId="2" fontId="4" numFmtId="0" xfId="0" applyAlignment="1" applyBorder="1" applyFont="1">
      <alignment horizontal="center" readingOrder="0" shrinkToFit="0" vertical="center" wrapText="1"/>
    </xf>
    <xf borderId="10" fillId="2" fontId="4" numFmtId="0" xfId="0" applyAlignment="1" applyBorder="1" applyFont="1">
      <alignment horizontal="center" readingOrder="0" shrinkToFit="0" vertical="center" wrapText="1"/>
    </xf>
    <xf borderId="11" fillId="2" fontId="4" numFmtId="0" xfId="0" applyAlignment="1" applyBorder="1" applyFont="1">
      <alignment horizontal="center" readingOrder="0" shrinkToFit="0" vertical="center" wrapText="1"/>
    </xf>
    <xf borderId="9" fillId="2" fontId="4" numFmtId="0" xfId="0" applyAlignment="1" applyBorder="1" applyFont="1">
      <alignment horizontal="center" readingOrder="0" shrinkToFit="0" vertical="center" wrapText="1"/>
    </xf>
    <xf borderId="10" fillId="2" fontId="4" numFmtId="0" xfId="0" applyAlignment="1" applyBorder="1" applyFont="1">
      <alignment horizontal="center" readingOrder="0" shrinkToFit="0" vertical="center" wrapText="1"/>
    </xf>
    <xf borderId="11" fillId="2" fontId="4" numFmtId="0" xfId="0" applyAlignment="1" applyBorder="1" applyFont="1">
      <alignment horizontal="center" readingOrder="0" shrinkToFit="0" vertical="center" wrapText="1"/>
    </xf>
    <xf borderId="12" fillId="2" fontId="4" numFmtId="0" xfId="0" applyAlignment="1" applyBorder="1" applyFont="1">
      <alignment horizontal="center" readingOrder="0" shrinkToFit="0" vertical="center" wrapText="1"/>
    </xf>
    <xf borderId="13" fillId="0" fontId="17" numFmtId="0" xfId="0" applyAlignment="1" applyBorder="1" applyFont="1">
      <alignment horizontal="center" readingOrder="0" shrinkToFit="0" vertical="center" wrapText="1"/>
    </xf>
    <xf borderId="14" fillId="2" fontId="16" numFmtId="0" xfId="0" applyAlignment="1" applyBorder="1" applyFont="1">
      <alignment shrinkToFit="0" wrapText="1"/>
    </xf>
    <xf borderId="15" fillId="2" fontId="18" numFmtId="0" xfId="0" applyAlignment="1" applyBorder="1" applyFont="1">
      <alignment horizontal="center" shrinkToFit="0" wrapText="1"/>
    </xf>
    <xf borderId="16" fillId="0" fontId="2" numFmtId="0" xfId="0" applyBorder="1" applyFont="1"/>
    <xf borderId="17" fillId="0" fontId="2" numFmtId="0" xfId="0" applyBorder="1" applyFont="1"/>
    <xf borderId="18" fillId="2" fontId="19" numFmtId="0" xfId="0" applyAlignment="1" applyBorder="1" applyFont="1">
      <alignment horizontal="center" readingOrder="0" shrinkToFit="0" vertical="center" wrapText="1"/>
    </xf>
    <xf borderId="4" fillId="2" fontId="4" numFmtId="0" xfId="0" applyAlignment="1" applyBorder="1" applyFont="1">
      <alignment horizontal="center" readingOrder="0" shrinkToFit="0" vertical="center" wrapText="1"/>
    </xf>
    <xf borderId="19" fillId="2" fontId="4" numFmtId="0" xfId="0" applyAlignment="1" applyBorder="1" applyFont="1">
      <alignment horizontal="center" readingOrder="0" shrinkToFit="0" vertical="center" wrapText="1"/>
    </xf>
    <xf borderId="18" fillId="2" fontId="4" numFmtId="0" xfId="0" applyAlignment="1" applyBorder="1" applyFont="1">
      <alignment horizontal="center" readingOrder="0" shrinkToFit="0" vertical="center" wrapText="1"/>
    </xf>
    <xf borderId="4" fillId="2" fontId="4" numFmtId="0" xfId="0" applyAlignment="1" applyBorder="1" applyFont="1">
      <alignment horizontal="center" readingOrder="0" shrinkToFit="0" vertical="center" wrapText="1"/>
    </xf>
    <xf borderId="19" fillId="2" fontId="4" numFmtId="0" xfId="0" applyAlignment="1" applyBorder="1" applyFont="1">
      <alignment horizontal="center" readingOrder="0" shrinkToFit="0" vertical="center" wrapText="1"/>
    </xf>
    <xf borderId="20" fillId="2" fontId="4" numFmtId="0" xfId="0" applyAlignment="1" applyBorder="1" applyFont="1">
      <alignment horizontal="center" readingOrder="0" shrinkToFit="0" vertical="center" wrapText="1"/>
    </xf>
    <xf borderId="14" fillId="2" fontId="16" numFmtId="0" xfId="0" applyAlignment="1" applyBorder="1" applyFont="1">
      <alignment readingOrder="0" shrinkToFit="0" vertical="center" wrapText="1"/>
    </xf>
    <xf borderId="18" fillId="6" fontId="20" numFmtId="0" xfId="0" applyAlignment="1" applyBorder="1" applyFill="1" applyFont="1">
      <alignment horizontal="center" readingOrder="0" shrinkToFit="0" vertical="center" wrapText="1"/>
    </xf>
    <xf borderId="19" fillId="6" fontId="20" numFmtId="0" xfId="0" applyAlignment="1" applyBorder="1" applyFont="1">
      <alignment horizontal="center" readingOrder="0" shrinkToFit="0" vertical="center" wrapText="1"/>
    </xf>
    <xf borderId="18" fillId="7" fontId="20" numFmtId="164" xfId="0" applyAlignment="1" applyBorder="1" applyFill="1" applyFont="1" applyNumberFormat="1">
      <alignment horizontal="center" readingOrder="0" shrinkToFit="0" vertical="center" wrapText="1"/>
    </xf>
    <xf borderId="4" fillId="7" fontId="20" numFmtId="0" xfId="0" applyAlignment="1" applyBorder="1" applyFont="1">
      <alignment horizontal="center" readingOrder="0" shrinkToFit="0" vertical="center" wrapText="1"/>
    </xf>
    <xf borderId="19" fillId="7" fontId="20" numFmtId="0" xfId="0" applyAlignment="1" applyBorder="1" applyFont="1">
      <alignment horizontal="center" readingOrder="0" shrinkToFit="0" vertical="center" wrapText="1"/>
    </xf>
    <xf borderId="18" fillId="8" fontId="20" numFmtId="0" xfId="0" applyAlignment="1" applyBorder="1" applyFill="1" applyFont="1">
      <alignment horizontal="center" readingOrder="0" shrinkToFit="0" vertical="center" wrapText="1"/>
    </xf>
    <xf borderId="4" fillId="8" fontId="20" numFmtId="0" xfId="0" applyAlignment="1" applyBorder="1" applyFont="1">
      <alignment horizontal="center" readingOrder="0" shrinkToFit="0" vertical="center" wrapText="1"/>
    </xf>
    <xf borderId="19" fillId="8" fontId="20" numFmtId="0" xfId="0" applyAlignment="1" applyBorder="1" applyFont="1">
      <alignment horizontal="center" readingOrder="0" shrinkToFit="0" vertical="center" wrapText="1"/>
    </xf>
    <xf borderId="21" fillId="0" fontId="2" numFmtId="0" xfId="0" applyBorder="1" applyFont="1"/>
    <xf borderId="22" fillId="2" fontId="16" numFmtId="0" xfId="0" applyAlignment="1" applyBorder="1" applyFont="1">
      <alignment readingOrder="0" shrinkToFit="0" wrapText="1"/>
    </xf>
    <xf borderId="18" fillId="7" fontId="20" numFmtId="0" xfId="0" applyAlignment="1" applyBorder="1" applyFont="1">
      <alignment horizontal="center" readingOrder="0" shrinkToFit="0" vertical="center" wrapText="1"/>
    </xf>
    <xf borderId="23" fillId="8" fontId="21" numFmtId="0" xfId="0" applyAlignment="1" applyBorder="1" applyFont="1">
      <alignment horizontal="center" readingOrder="0" shrinkToFit="0" vertical="center" wrapText="1"/>
    </xf>
    <xf borderId="0" fillId="2" fontId="11" numFmtId="0" xfId="0" applyAlignment="1" applyFont="1">
      <alignment readingOrder="0" shrinkToFit="0" wrapText="1"/>
    </xf>
    <xf borderId="23" fillId="7" fontId="21" numFmtId="0" xfId="0" applyAlignment="1" applyBorder="1" applyFont="1">
      <alignment horizontal="center" readingOrder="0" shrinkToFit="0" vertical="center" wrapText="1"/>
    </xf>
    <xf borderId="0" fillId="2" fontId="11" numFmtId="0" xfId="0" applyAlignment="1" applyFont="1">
      <alignment horizontal="center" readingOrder="0" shrinkToFit="0" textRotation="90" vertical="center" wrapText="1"/>
    </xf>
    <xf borderId="0" fillId="2" fontId="11" numFmtId="0" xfId="0" applyAlignment="1" applyFont="1">
      <alignment readingOrder="0" shrinkToFit="0" vertical="center" wrapText="1"/>
    </xf>
    <xf borderId="24" fillId="9" fontId="22" numFmtId="0" xfId="0" applyAlignment="1" applyBorder="1" applyFill="1" applyFont="1">
      <alignment horizontal="center" readingOrder="0" shrinkToFit="0" vertical="center" wrapText="1"/>
    </xf>
    <xf borderId="25" fillId="0" fontId="2" numFmtId="0" xfId="0" applyBorder="1" applyFont="1"/>
    <xf borderId="26" fillId="0" fontId="2" numFmtId="0" xfId="0" applyBorder="1" applyFont="1"/>
    <xf borderId="18" fillId="6" fontId="20" numFmtId="164" xfId="0" applyAlignment="1" applyBorder="1" applyFont="1" applyNumberFormat="1">
      <alignment horizontal="center" readingOrder="0" shrinkToFit="0" vertical="center" wrapText="1"/>
    </xf>
    <xf borderId="18" fillId="8" fontId="20" numFmtId="164" xfId="0" applyAlignment="1" applyBorder="1" applyFont="1" applyNumberFormat="1">
      <alignment horizontal="center" readingOrder="0" shrinkToFit="0" vertical="center" wrapText="1"/>
    </xf>
    <xf borderId="18" fillId="7" fontId="21" numFmtId="164" xfId="0" applyAlignment="1" applyBorder="1" applyFont="1" applyNumberFormat="1">
      <alignment horizontal="center" readingOrder="0" shrinkToFit="0" vertical="center" wrapText="1"/>
    </xf>
    <xf borderId="4" fillId="7" fontId="21" numFmtId="0" xfId="0" applyAlignment="1" applyBorder="1" applyFont="1">
      <alignment horizontal="center" readingOrder="0" shrinkToFit="0" vertical="center" wrapText="1"/>
    </xf>
    <xf borderId="19" fillId="7" fontId="21" numFmtId="0" xfId="0" applyAlignment="1" applyBorder="1" applyFont="1">
      <alignment horizontal="center" readingOrder="0" shrinkToFit="0" vertical="center" wrapText="1"/>
    </xf>
    <xf borderId="18" fillId="8" fontId="21" numFmtId="0" xfId="0" applyAlignment="1" applyBorder="1" applyFont="1">
      <alignment horizontal="center" readingOrder="0" shrinkToFit="0" vertical="center" wrapText="1"/>
    </xf>
    <xf borderId="4" fillId="8" fontId="21" numFmtId="0" xfId="0" applyAlignment="1" applyBorder="1" applyFont="1">
      <alignment horizontal="center" readingOrder="0" shrinkToFit="0" vertical="center" wrapText="1"/>
    </xf>
    <xf borderId="19" fillId="8" fontId="21" numFmtId="0" xfId="0" applyAlignment="1" applyBorder="1" applyFont="1">
      <alignment horizontal="center" readingOrder="0" shrinkToFit="0" vertical="center" wrapText="1"/>
    </xf>
    <xf borderId="18" fillId="8" fontId="21" numFmtId="164" xfId="0" applyAlignment="1" applyBorder="1" applyFont="1" applyNumberFormat="1">
      <alignment horizontal="center" readingOrder="0" shrinkToFit="0" vertical="center" wrapText="1"/>
    </xf>
    <xf borderId="18" fillId="7" fontId="21" numFmtId="0" xfId="0" applyAlignment="1" applyBorder="1" applyFont="1">
      <alignment horizontal="center" readingOrder="0" shrinkToFit="0" vertical="center" wrapText="1"/>
    </xf>
    <xf borderId="21" fillId="0" fontId="17" numFmtId="0" xfId="0" applyAlignment="1" applyBorder="1" applyFont="1">
      <alignment horizontal="center" readingOrder="0" shrinkToFit="0" vertical="center" wrapText="1"/>
    </xf>
    <xf borderId="0" fillId="2" fontId="22" numFmtId="0" xfId="0" applyAlignment="1" applyFont="1">
      <alignment horizontal="left" readingOrder="0" shrinkToFit="0" vertical="center" wrapText="1"/>
    </xf>
    <xf borderId="0" fillId="2" fontId="23" numFmtId="0" xfId="0" applyAlignment="1" applyFont="1">
      <alignment horizontal="left" readingOrder="0" shrinkToFit="0" vertical="center" wrapText="1"/>
    </xf>
    <xf borderId="0" fillId="2" fontId="24" numFmtId="0" xfId="0" applyAlignment="1" applyFont="1">
      <alignment horizontal="left" readingOrder="0" shrinkToFit="0" vertical="center" wrapText="1"/>
    </xf>
    <xf borderId="0" fillId="0" fontId="25" numFmtId="0" xfId="0" applyFont="1"/>
    <xf borderId="0" fillId="0" fontId="8" numFmtId="0" xfId="0" applyAlignment="1" applyFont="1">
      <alignment vertical="bottom"/>
    </xf>
    <xf borderId="0" fillId="0" fontId="26" numFmtId="14" xfId="0" applyAlignment="1" applyFont="1" applyNumberFormat="1">
      <alignment horizontal="center" vertical="bottom"/>
    </xf>
    <xf borderId="0" fillId="0" fontId="25" numFmtId="14" xfId="0" applyFont="1" applyNumberFormat="1"/>
    <xf borderId="0" fillId="0" fontId="26" numFmtId="14" xfId="0" applyAlignment="1" applyFont="1" applyNumberFormat="1">
      <alignment horizontal="center" readingOrder="0" vertical="bottom"/>
    </xf>
    <xf borderId="0" fillId="0" fontId="25" numFmtId="49" xfId="0" applyFont="1" applyNumberFormat="1"/>
    <xf borderId="0" fillId="10" fontId="25" numFmtId="49" xfId="0" applyFill="1" applyFont="1" applyNumberFormat="1"/>
    <xf borderId="0" fillId="11" fontId="25" numFmtId="49" xfId="0" applyFill="1" applyFont="1" applyNumberFormat="1"/>
    <xf borderId="0" fillId="0" fontId="8" numFmtId="49" xfId="0" applyAlignment="1" applyFont="1" applyNumberFormat="1">
      <alignment vertical="bottom"/>
    </xf>
    <xf borderId="0" fillId="0" fontId="8" numFmtId="14" xfId="0" applyAlignment="1" applyFont="1" applyNumberFormat="1">
      <alignment vertical="bottom"/>
    </xf>
    <xf borderId="0" fillId="0" fontId="25" numFmtId="49" xfId="0" applyAlignment="1" applyFont="1" applyNumberFormat="1">
      <alignment readingOrder="0"/>
    </xf>
    <xf borderId="0" fillId="0" fontId="8" numFmtId="0" xfId="0" applyAlignment="1" applyFont="1">
      <alignment readingOrder="0" vertical="bottom"/>
    </xf>
    <xf borderId="0" fillId="0" fontId="8" numFmtId="49" xfId="0" applyAlignment="1" applyFont="1" applyNumberFormat="1">
      <alignment readingOrder="0" vertical="bottom"/>
    </xf>
    <xf borderId="0" fillId="2" fontId="27" numFmtId="0" xfId="0" applyAlignment="1" applyFont="1">
      <alignment horizontal="center" readingOrder="0" shrinkToFit="0" vertical="center" wrapText="1"/>
    </xf>
    <xf borderId="0" fillId="2" fontId="28" numFmtId="0" xfId="0" applyAlignment="1" applyFont="1">
      <alignment horizontal="left" readingOrder="0" shrinkToFit="0" vertical="center" wrapText="1"/>
    </xf>
    <xf borderId="0" fillId="12" fontId="27" numFmtId="0" xfId="0" applyAlignment="1" applyFill="1" applyFont="1">
      <alignment horizontal="center" readingOrder="0" shrinkToFit="0" vertical="center" wrapText="1"/>
    </xf>
    <xf borderId="27" fillId="13" fontId="27" numFmtId="0" xfId="0" applyAlignment="1" applyBorder="1" applyFill="1" applyFont="1">
      <alignment horizontal="center" readingOrder="0" shrinkToFit="0" vertical="center" wrapText="1"/>
    </xf>
    <xf borderId="28" fillId="0" fontId="28" numFmtId="0" xfId="0" applyAlignment="1" applyBorder="1" applyFont="1">
      <alignment horizontal="left" readingOrder="0" shrinkToFit="0" vertical="center" wrapText="1"/>
    </xf>
    <xf borderId="28" fillId="0" fontId="2" numFmtId="0" xfId="0" applyBorder="1" applyFont="1"/>
    <xf borderId="27" fillId="14" fontId="27" numFmtId="0" xfId="0" applyAlignment="1" applyBorder="1" applyFill="1" applyFont="1">
      <alignment horizontal="center" readingOrder="0" shrinkToFit="0" vertical="center" wrapText="1"/>
    </xf>
    <xf borderId="29" fillId="0" fontId="2" numFmtId="0" xfId="0" applyBorder="1" applyFont="1"/>
    <xf borderId="30" fillId="0" fontId="4" numFmtId="0" xfId="0" applyAlignment="1" applyBorder="1" applyFont="1">
      <alignment horizontal="center" readingOrder="0" shrinkToFit="0" vertical="center" wrapText="1"/>
    </xf>
    <xf borderId="31" fillId="0" fontId="4" numFmtId="0" xfId="0" applyAlignment="1" applyBorder="1" applyFont="1">
      <alignment horizontal="center" readingOrder="0" shrinkToFit="0" vertical="center" wrapText="1"/>
    </xf>
    <xf borderId="32" fillId="0" fontId="4" numFmtId="0" xfId="0" applyAlignment="1" applyBorder="1" applyFont="1">
      <alignment horizontal="center" readingOrder="0" shrinkToFit="0" vertical="center" wrapText="1"/>
    </xf>
    <xf borderId="8" fillId="0" fontId="29" numFmtId="0" xfId="0" applyAlignment="1" applyBorder="1" applyFont="1">
      <alignment horizontal="center" readingOrder="0" vertical="center"/>
    </xf>
    <xf borderId="12" fillId="0" fontId="2" numFmtId="0" xfId="0" applyBorder="1" applyFont="1"/>
    <xf borderId="8" fillId="4" fontId="30" numFmtId="0" xfId="0" applyAlignment="1" applyBorder="1" applyFont="1">
      <alignment horizontal="center" readingOrder="0" shrinkToFit="0" wrapText="1"/>
    </xf>
    <xf borderId="33" fillId="0" fontId="2" numFmtId="0" xfId="0" applyBorder="1" applyFont="1"/>
    <xf borderId="10" fillId="10" fontId="30" numFmtId="0" xfId="0" applyAlignment="1" applyBorder="1" applyFont="1">
      <alignment horizontal="center" readingOrder="0" vertical="center"/>
    </xf>
    <xf borderId="34" fillId="0" fontId="2" numFmtId="0" xfId="0" applyBorder="1" applyFont="1"/>
    <xf borderId="35" fillId="0" fontId="2" numFmtId="0" xfId="0" applyBorder="1" applyFont="1"/>
    <xf borderId="36" fillId="15" fontId="30" numFmtId="0" xfId="0" applyAlignment="1" applyBorder="1" applyFill="1" applyFont="1">
      <alignment horizontal="center" readingOrder="0"/>
    </xf>
    <xf borderId="32" fillId="11" fontId="6" numFmtId="0" xfId="0" applyAlignment="1" applyBorder="1" applyFont="1">
      <alignment horizontal="center" readingOrder="0" shrinkToFit="0" vertical="center" wrapText="1"/>
    </xf>
    <xf borderId="0" fillId="15" fontId="6" numFmtId="0" xfId="0" applyAlignment="1" applyFont="1">
      <alignment horizontal="center" readingOrder="0" shrinkToFit="0" vertical="center" wrapText="1"/>
    </xf>
    <xf borderId="37" fillId="0" fontId="2" numFmtId="0" xfId="0" applyBorder="1" applyFont="1"/>
    <xf borderId="38" fillId="0" fontId="2" numFmtId="0" xfId="0" applyBorder="1" applyFont="1"/>
    <xf borderId="39" fillId="0" fontId="2" numFmtId="0" xfId="0" applyBorder="1" applyFont="1"/>
    <xf borderId="7" fillId="16" fontId="31" numFmtId="0" xfId="0" applyAlignment="1" applyBorder="1" applyFill="1" applyFont="1">
      <alignment horizontal="center" readingOrder="0" shrinkToFit="0" vertical="center" wrapText="1"/>
    </xf>
    <xf borderId="40" fillId="16" fontId="31" numFmtId="0" xfId="0" applyAlignment="1" applyBorder="1" applyFont="1">
      <alignment horizontal="center" readingOrder="0" shrinkToFit="0" vertical="center" wrapText="1"/>
    </xf>
    <xf borderId="41" fillId="13" fontId="32" numFmtId="0" xfId="0" applyAlignment="1" applyBorder="1" applyFont="1">
      <alignment horizontal="center" readingOrder="0" shrinkToFit="0" vertical="top" wrapText="1"/>
    </xf>
    <xf borderId="42" fillId="14" fontId="33" numFmtId="0" xfId="0" applyAlignment="1" applyBorder="1" applyFont="1">
      <alignment horizontal="center" readingOrder="0" shrinkToFit="0" vertical="top" wrapText="1"/>
    </xf>
    <xf borderId="42" fillId="13" fontId="32" numFmtId="0" xfId="0" applyAlignment="1" applyBorder="1" applyFont="1">
      <alignment horizontal="center" readingOrder="0" shrinkToFit="0" vertical="top" wrapText="1"/>
    </xf>
    <xf borderId="42" fillId="13" fontId="33" numFmtId="0" xfId="0" applyAlignment="1" applyBorder="1" applyFont="1">
      <alignment horizontal="center" readingOrder="0" shrinkToFit="0" vertical="top" wrapText="1"/>
    </xf>
    <xf borderId="43" fillId="14" fontId="33" numFmtId="0" xfId="0" applyAlignment="1" applyBorder="1" applyFont="1">
      <alignment horizontal="center" readingOrder="0" shrinkToFit="0" vertical="top" wrapText="1"/>
    </xf>
    <xf borderId="43" fillId="14" fontId="32" numFmtId="0" xfId="0" applyAlignment="1" applyBorder="1" applyFont="1">
      <alignment horizontal="center" readingOrder="0" shrinkToFit="0" vertical="top" wrapText="1"/>
    </xf>
    <xf borderId="44" fillId="0" fontId="4" numFmtId="0" xfId="0" applyAlignment="1" applyBorder="1" applyFont="1">
      <alignment horizontal="center" readingOrder="0" vertical="bottom"/>
    </xf>
    <xf borderId="4" fillId="0" fontId="29" numFmtId="49" xfId="0" applyAlignment="1" applyBorder="1" applyFont="1" applyNumberFormat="1">
      <alignment horizontal="center" readingOrder="0" vertical="bottom"/>
    </xf>
    <xf borderId="1" fillId="11" fontId="34" numFmtId="49" xfId="0" applyBorder="1" applyFont="1" applyNumberFormat="1"/>
    <xf borderId="18" fillId="0" fontId="31" numFmtId="49" xfId="0" applyAlignment="1" applyBorder="1" applyFont="1" applyNumberFormat="1">
      <alignment horizontal="center" shrinkToFit="0" vertical="center" wrapText="1"/>
    </xf>
    <xf borderId="19" fillId="2" fontId="35" numFmtId="49" xfId="0" applyAlignment="1" applyBorder="1" applyFont="1" applyNumberFormat="1">
      <alignment vertical="center"/>
    </xf>
    <xf borderId="4" fillId="11" fontId="4" numFmtId="0" xfId="0" applyAlignment="1" applyBorder="1" applyFont="1">
      <alignment horizontal="center" readingOrder="0" shrinkToFit="0" vertical="center" wrapText="1"/>
    </xf>
    <xf borderId="4" fillId="11" fontId="4" numFmtId="165" xfId="0" applyAlignment="1" applyBorder="1" applyFont="1" applyNumberFormat="1">
      <alignment horizontal="center" readingOrder="0" shrinkToFit="0" vertical="center" wrapText="1"/>
    </xf>
    <xf borderId="0" fillId="11" fontId="36" numFmtId="0" xfId="0" applyAlignment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vertical="bottom"/>
    </xf>
    <xf borderId="1" fillId="0" fontId="34" numFmtId="49" xfId="0" applyBorder="1" applyFont="1" applyNumberFormat="1"/>
    <xf borderId="18" fillId="0" fontId="31" numFmtId="49" xfId="0" applyAlignment="1" applyBorder="1" applyFont="1" applyNumberFormat="1">
      <alignment horizontal="center" shrinkToFit="0" wrapText="1"/>
    </xf>
    <xf borderId="19" fillId="2" fontId="35" numFmtId="49" xfId="0" applyBorder="1" applyFont="1" applyNumberFormat="1"/>
    <xf borderId="3" fillId="11" fontId="4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4" fillId="10" fontId="4" numFmtId="0" xfId="0" applyAlignment="1" applyBorder="1" applyFont="1">
      <alignment horizontal="center" readingOrder="0" shrinkToFit="0" vertical="center" wrapText="1"/>
    </xf>
    <xf borderId="4" fillId="4" fontId="4" numFmtId="0" xfId="0" applyAlignment="1" applyBorder="1" applyFont="1">
      <alignment horizontal="center" readingOrder="0" shrinkToFit="0" vertical="center" wrapText="1"/>
    </xf>
    <xf borderId="4" fillId="2" fontId="4" numFmtId="0" xfId="0" applyAlignment="1" applyBorder="1" applyFont="1">
      <alignment horizontal="center" shrinkToFit="0" vertical="center" wrapText="1"/>
    </xf>
    <xf borderId="18" fillId="0" fontId="37" numFmtId="49" xfId="0" applyAlignment="1" applyBorder="1" applyFont="1" applyNumberFormat="1">
      <alignment horizontal="center" shrinkToFit="0" vertical="center" wrapText="1"/>
    </xf>
    <xf borderId="18" fillId="0" fontId="31" numFmtId="49" xfId="0" applyAlignment="1" applyBorder="1" applyFont="1" applyNumberFormat="1">
      <alignment horizontal="center" vertical="center"/>
    </xf>
    <xf borderId="44" fillId="10" fontId="4" numFmtId="0" xfId="0" applyAlignment="1" applyBorder="1" applyFont="1">
      <alignment horizontal="center" readingOrder="0" vertical="bottom"/>
    </xf>
    <xf borderId="4" fillId="10" fontId="29" numFmtId="49" xfId="0" applyAlignment="1" applyBorder="1" applyFont="1" applyNumberFormat="1">
      <alignment horizontal="center" readingOrder="0" vertical="bottom"/>
    </xf>
    <xf borderId="1" fillId="10" fontId="34" numFmtId="49" xfId="0" applyBorder="1" applyFont="1" applyNumberFormat="1"/>
    <xf borderId="18" fillId="10" fontId="31" numFmtId="49" xfId="0" applyAlignment="1" applyBorder="1" applyFont="1" applyNumberFormat="1">
      <alignment horizontal="center" shrinkToFit="0" wrapText="1"/>
    </xf>
    <xf borderId="4" fillId="10" fontId="4" numFmtId="0" xfId="0" applyAlignment="1" applyBorder="1" applyFont="1">
      <alignment horizontal="center" readingOrder="0" vertical="bottom"/>
    </xf>
    <xf borderId="18" fillId="10" fontId="31" numFmtId="49" xfId="0" applyAlignment="1" applyBorder="1" applyFont="1" applyNumberFormat="1">
      <alignment horizontal="center"/>
    </xf>
    <xf borderId="4" fillId="11" fontId="33" numFmtId="0" xfId="0" applyAlignment="1" applyBorder="1" applyFont="1">
      <alignment horizontal="center" readingOrder="0" shrinkToFit="0" vertical="center" wrapText="1"/>
    </xf>
    <xf borderId="4" fillId="4" fontId="38" numFmtId="0" xfId="0" applyAlignment="1" applyBorder="1" applyFont="1">
      <alignment horizontal="center" readingOrder="0" shrinkToFit="0" vertical="center" wrapText="1"/>
    </xf>
    <xf borderId="3" fillId="4" fontId="4" numFmtId="0" xfId="0" applyAlignment="1" applyBorder="1" applyFont="1">
      <alignment horizontal="center" readingOrder="0" shrinkToFit="0" vertical="center" wrapText="1"/>
    </xf>
    <xf borderId="19" fillId="0" fontId="31" numFmtId="49" xfId="0" applyAlignment="1" applyBorder="1" applyFont="1" applyNumberFormat="1">
      <alignment horizontal="center"/>
    </xf>
    <xf borderId="3" fillId="0" fontId="4" numFmtId="0" xfId="0" applyAlignment="1" applyBorder="1" applyFont="1">
      <alignment horizontal="center" readingOrder="0" shrinkToFit="0" vertical="center" wrapText="1"/>
    </xf>
    <xf borderId="18" fillId="0" fontId="31" numFmtId="49" xfId="0" applyAlignment="1" applyBorder="1" applyFont="1" applyNumberFormat="1">
      <alignment horizontal="center"/>
    </xf>
    <xf borderId="0" fillId="16" fontId="36" numFmtId="0" xfId="0" applyAlignment="1" applyFont="1">
      <alignment horizontal="center" readingOrder="0" shrinkToFit="0" vertical="center" wrapText="1"/>
    </xf>
    <xf borderId="19" fillId="0" fontId="31" numFmtId="49" xfId="0" applyAlignment="1" applyBorder="1" applyFont="1" applyNumberFormat="1">
      <alignment horizontal="center" shrinkToFit="0" vertical="center" wrapText="1"/>
    </xf>
    <xf borderId="4" fillId="11" fontId="34" numFmtId="0" xfId="0" applyAlignment="1" applyBorder="1" applyFont="1">
      <alignment horizontal="center" readingOrder="0" shrinkToFit="0" vertical="center" wrapText="1"/>
    </xf>
    <xf borderId="4" fillId="11" fontId="4" numFmtId="166" xfId="0" applyAlignment="1" applyBorder="1" applyFont="1" applyNumberFormat="1">
      <alignment horizontal="center" readingOrder="0" shrinkToFit="0" vertical="center" wrapText="1"/>
    </xf>
    <xf borderId="18" fillId="2" fontId="39" numFmtId="49" xfId="0" applyAlignment="1" applyBorder="1" applyFont="1" applyNumberFormat="1">
      <alignment horizontal="center" readingOrder="0" shrinkToFit="0" vertical="center" wrapText="1"/>
    </xf>
    <xf borderId="4" fillId="4" fontId="31" numFmtId="0" xfId="0" applyAlignment="1" applyBorder="1" applyFont="1">
      <alignment horizontal="center" readingOrder="0" shrinkToFit="0" vertical="center" wrapText="1"/>
    </xf>
    <xf borderId="4" fillId="4" fontId="40" numFmtId="0" xfId="0" applyAlignment="1" applyBorder="1" applyFont="1">
      <alignment horizontal="center" readingOrder="0" shrinkToFit="0" vertical="center" wrapText="1"/>
    </xf>
    <xf borderId="0" fillId="17" fontId="4" numFmtId="0" xfId="0" applyAlignment="1" applyFill="1" applyFont="1">
      <alignment horizontal="center" readingOrder="0" shrinkToFit="0" vertical="center" wrapText="1"/>
    </xf>
    <xf borderId="19" fillId="0" fontId="31" numFmtId="49" xfId="0" applyAlignment="1" applyBorder="1" applyFont="1" applyNumberFormat="1">
      <alignment horizontal="center" shrinkToFit="0" wrapText="1"/>
    </xf>
    <xf borderId="19" fillId="0" fontId="31" numFmtId="49" xfId="0" applyAlignment="1" applyBorder="1" applyFont="1" applyNumberFormat="1">
      <alignment horizontal="center" vertical="center"/>
    </xf>
    <xf borderId="4" fillId="4" fontId="41" numFmtId="0" xfId="0" applyAlignment="1" applyBorder="1" applyFont="1">
      <alignment horizontal="center" readingOrder="0" shrinkToFit="0" vertical="center" wrapText="1"/>
    </xf>
    <xf borderId="4" fillId="11" fontId="41" numFmtId="0" xfId="0" applyAlignment="1" applyBorder="1" applyFont="1">
      <alignment horizontal="center" readingOrder="0" shrinkToFit="0" vertical="center" wrapText="1"/>
    </xf>
    <xf borderId="4" fillId="11" fontId="4" numFmtId="0" xfId="0" applyAlignment="1" applyBorder="1" applyFont="1">
      <alignment horizontal="center" shrinkToFit="0" wrapText="1"/>
    </xf>
    <xf borderId="4" fillId="11" fontId="8" numFmtId="0" xfId="0" applyAlignment="1" applyBorder="1" applyFont="1">
      <alignment readingOrder="0"/>
    </xf>
    <xf borderId="4" fillId="11" fontId="8" numFmtId="0" xfId="0" applyBorder="1" applyFont="1"/>
    <xf borderId="4" fillId="11" fontId="31" numFmtId="0" xfId="0" applyAlignment="1" applyBorder="1" applyFont="1">
      <alignment horizontal="center" readingOrder="0" shrinkToFit="0" vertical="center" wrapText="1"/>
    </xf>
    <xf borderId="18" fillId="10" fontId="31" numFmtId="49" xfId="0" applyAlignment="1" applyBorder="1" applyFont="1" applyNumberFormat="1">
      <alignment horizontal="center" shrinkToFit="0" vertical="center" wrapText="1"/>
    </xf>
    <xf borderId="4" fillId="4" fontId="33" numFmtId="0" xfId="0" applyAlignment="1" applyBorder="1" applyFont="1">
      <alignment horizontal="center" readingOrder="0" shrinkToFit="0" vertical="center" wrapText="1"/>
    </xf>
    <xf borderId="45" fillId="0" fontId="2" numFmtId="0" xfId="0" applyBorder="1" applyFont="1"/>
    <xf borderId="46" fillId="0" fontId="2" numFmtId="0" xfId="0" applyBorder="1" applyFont="1"/>
    <xf borderId="41" fillId="16" fontId="31" numFmtId="0" xfId="0" applyAlignment="1" applyBorder="1" applyFont="1">
      <alignment horizontal="center" readingOrder="0" shrinkToFit="0" vertical="center" wrapText="1"/>
    </xf>
    <xf borderId="47" fillId="16" fontId="31" numFmtId="0" xfId="0" applyAlignment="1" applyBorder="1" applyFont="1">
      <alignment horizontal="center" readingOrder="0" shrinkToFit="0" vertical="center" wrapText="1"/>
    </xf>
    <xf borderId="23" fillId="14" fontId="33" numFmtId="0" xfId="0" applyAlignment="1" applyBorder="1" applyFont="1">
      <alignment horizontal="center" readingOrder="0" shrinkToFit="0" vertical="top" wrapText="1"/>
    </xf>
    <xf borderId="23" fillId="13" fontId="32" numFmtId="0" xfId="0" applyAlignment="1" applyBorder="1" applyFont="1">
      <alignment horizontal="center" readingOrder="0" shrinkToFit="0" vertical="top" wrapText="1"/>
    </xf>
    <xf borderId="23" fillId="13" fontId="33" numFmtId="0" xfId="0" applyAlignment="1" applyBorder="1" applyFont="1">
      <alignment horizontal="center" readingOrder="0" shrinkToFit="0" vertical="top" wrapText="1"/>
    </xf>
    <xf borderId="48" fillId="14" fontId="33" numFmtId="0" xfId="0" applyAlignment="1" applyBorder="1" applyFont="1">
      <alignment horizontal="center" readingOrder="0" shrinkToFit="0" vertical="top" wrapText="1"/>
    </xf>
    <xf borderId="48" fillId="14" fontId="32" numFmtId="0" xfId="0" applyAlignment="1" applyBorder="1" applyFont="1">
      <alignment horizontal="center" readingOrder="0" shrinkToFit="0" vertical="top" wrapText="1"/>
    </xf>
    <xf borderId="37" fillId="0" fontId="4" numFmtId="0" xfId="0" applyAlignment="1" applyBorder="1" applyFont="1">
      <alignment horizontal="center" readingOrder="0" vertical="bottom"/>
    </xf>
    <xf borderId="44" fillId="0" fontId="29" numFmtId="49" xfId="0" applyAlignment="1" applyBorder="1" applyFont="1" applyNumberFormat="1">
      <alignment horizontal="center" readingOrder="0" vertical="bottom"/>
    </xf>
    <xf borderId="3" fillId="10" fontId="4" numFmtId="0" xfId="0" applyAlignment="1" applyBorder="1" applyFont="1">
      <alignment horizontal="center" readingOrder="0" shrinkToFit="0" vertical="center" wrapText="1"/>
    </xf>
    <xf borderId="18" fillId="0" fontId="4" numFmtId="0" xfId="0" applyAlignment="1" applyBorder="1" applyFont="1">
      <alignment horizontal="center" readingOrder="0" vertical="bottom"/>
    </xf>
    <xf borderId="36" fillId="0" fontId="29" numFmtId="49" xfId="0" applyAlignment="1" applyBorder="1" applyFont="1" applyNumberFormat="1">
      <alignment horizontal="center" readingOrder="0" vertical="bottom"/>
    </xf>
    <xf borderId="4" fillId="10" fontId="4" numFmtId="0" xfId="0" applyAlignment="1" applyBorder="1" applyFont="1">
      <alignment horizontal="center" shrinkToFit="0" wrapText="1"/>
    </xf>
    <xf borderId="4" fillId="10" fontId="4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wrapText="1"/>
    </xf>
    <xf borderId="4" fillId="4" fontId="4" numFmtId="0" xfId="0" applyAlignment="1" applyBorder="1" applyFont="1">
      <alignment horizontal="center" shrinkToFit="0" wrapText="1"/>
    </xf>
    <xf borderId="0" fillId="0" fontId="35" numFmtId="49" xfId="0" applyFont="1" applyNumberFormat="1"/>
    <xf borderId="0" fillId="0" fontId="4" numFmtId="0" xfId="0" applyAlignment="1" applyFont="1">
      <alignment horizontal="center" readingOrder="0" shrinkToFit="0" vertical="center" wrapText="1"/>
    </xf>
    <xf borderId="0" fillId="2" fontId="4" numFmtId="0" xfId="0" applyAlignment="1" applyFont="1">
      <alignment horizontal="center" shrinkToFit="0" vertical="center" wrapText="1"/>
    </xf>
    <xf borderId="44" fillId="0" fontId="29" numFmtId="49" xfId="0" applyAlignment="1" applyBorder="1" applyFont="1" applyNumberFormat="1">
      <alignment horizontal="center" readingOrder="0" vertical="center"/>
    </xf>
    <xf borderId="1" fillId="0" fontId="34" numFmtId="49" xfId="0" applyAlignment="1" applyBorder="1" applyFont="1" applyNumberFormat="1">
      <alignment vertical="center"/>
    </xf>
    <xf borderId="4" fillId="18" fontId="4" numFmtId="0" xfId="0" applyAlignment="1" applyBorder="1" applyFill="1" applyFont="1">
      <alignment horizontal="center" readingOrder="0" shrinkToFit="0" vertical="center" wrapText="1"/>
    </xf>
    <xf borderId="4" fillId="19" fontId="4" numFmtId="0" xfId="0" applyAlignment="1" applyBorder="1" applyFill="1" applyFont="1">
      <alignment horizontal="center" readingOrder="0" shrinkToFit="0" vertical="center" wrapText="1"/>
    </xf>
    <xf borderId="4" fillId="19" fontId="4" numFmtId="0" xfId="0" applyAlignment="1" applyBorder="1" applyFont="1">
      <alignment horizontal="center" shrinkToFit="0" wrapText="1"/>
    </xf>
    <xf borderId="4" fillId="18" fontId="8" numFmtId="0" xfId="0" applyBorder="1" applyFont="1"/>
    <xf borderId="36" fillId="0" fontId="29" numFmtId="49" xfId="0" applyAlignment="1" applyBorder="1" applyFont="1" applyNumberFormat="1">
      <alignment horizontal="center" readingOrder="0" vertical="center"/>
    </xf>
    <xf borderId="19" fillId="2" fontId="37" numFmtId="49" xfId="0" applyAlignment="1" applyBorder="1" applyFont="1" applyNumberFormat="1">
      <alignment horizontal="center" shrinkToFit="0" vertical="center" wrapText="1"/>
    </xf>
    <xf borderId="4" fillId="0" fontId="29" numFmtId="49" xfId="0" applyAlignment="1" applyBorder="1" applyFont="1" applyNumberFormat="1">
      <alignment horizontal="left" readingOrder="0" vertical="bottom"/>
    </xf>
    <xf borderId="4" fillId="0" fontId="41" numFmtId="0" xfId="0" applyAlignment="1" applyBorder="1" applyFont="1">
      <alignment horizontal="center" readingOrder="0" shrinkToFit="0" vertical="center" wrapText="1"/>
    </xf>
    <xf borderId="3" fillId="19" fontId="4" numFmtId="0" xfId="0" applyAlignment="1" applyBorder="1" applyFont="1">
      <alignment horizontal="center" readingOrder="0" shrinkToFit="0" vertical="center" wrapText="1"/>
    </xf>
    <xf borderId="4" fillId="20" fontId="4" numFmtId="0" xfId="0" applyAlignment="1" applyBorder="1" applyFill="1" applyFont="1">
      <alignment horizontal="center" shrinkToFit="0" wrapText="1"/>
    </xf>
    <xf borderId="4" fillId="0" fontId="42" numFmtId="0" xfId="0" applyAlignment="1" applyBorder="1" applyFont="1">
      <alignment horizontal="center" readingOrder="0" shrinkToFit="0" vertical="center" wrapText="1"/>
    </xf>
    <xf borderId="4" fillId="19" fontId="4" numFmtId="166" xfId="0" applyAlignment="1" applyBorder="1" applyFont="1" applyNumberFormat="1">
      <alignment horizontal="center" readingOrder="0" shrinkToFit="0" vertical="center" wrapText="1"/>
    </xf>
    <xf borderId="4" fillId="20" fontId="4" numFmtId="0" xfId="0" applyAlignment="1" applyBorder="1" applyFont="1">
      <alignment horizontal="center" readingOrder="0" shrinkToFit="0" vertical="center" wrapText="1"/>
    </xf>
    <xf borderId="4" fillId="8" fontId="4" numFmtId="0" xfId="0" applyAlignment="1" applyBorder="1" applyFont="1">
      <alignment horizontal="center" readingOrder="0" shrinkToFit="0" vertical="center" wrapText="1"/>
    </xf>
    <xf borderId="19" fillId="2" fontId="37" numFmtId="49" xfId="0" applyAlignment="1" applyBorder="1" applyFont="1" applyNumberFormat="1">
      <alignment horizontal="center" readingOrder="0" shrinkToFit="0" vertical="center" wrapText="1"/>
    </xf>
    <xf borderId="4" fillId="21" fontId="4" numFmtId="0" xfId="0" applyAlignment="1" applyBorder="1" applyFill="1" applyFont="1">
      <alignment horizontal="center" readingOrder="0" shrinkToFit="0" vertical="center" wrapText="1"/>
    </xf>
    <xf borderId="46" fillId="22" fontId="4" numFmtId="0" xfId="0" applyAlignment="1" applyBorder="1" applyFill="1" applyFont="1">
      <alignment horizontal="center" readingOrder="0" shrinkToFit="0" vertical="center" wrapText="1"/>
    </xf>
    <xf borderId="4" fillId="23" fontId="4" numFmtId="0" xfId="0" applyAlignment="1" applyBorder="1" applyFill="1" applyFont="1">
      <alignment horizontal="center" readingOrder="0" shrinkToFit="0" vertical="center" wrapText="1"/>
    </xf>
    <xf borderId="4" fillId="19" fontId="4" numFmtId="0" xfId="0" applyAlignment="1" applyBorder="1" applyFont="1">
      <alignment horizontal="center" readingOrder="0" shrinkToFit="0" wrapText="1"/>
    </xf>
    <xf borderId="3" fillId="24" fontId="4" numFmtId="0" xfId="0" applyAlignment="1" applyBorder="1" applyFill="1" applyFont="1">
      <alignment horizontal="center" readingOrder="0" shrinkToFit="0" vertical="center" wrapText="1"/>
    </xf>
    <xf borderId="44" fillId="25" fontId="4" numFmtId="0" xfId="0" applyAlignment="1" applyBorder="1" applyFill="1" applyFont="1">
      <alignment horizontal="center" readingOrder="0" shrinkToFit="0" vertical="center" wrapText="1"/>
    </xf>
    <xf borderId="45" fillId="19" fontId="4" numFmtId="0" xfId="0" applyAlignment="1" applyBorder="1" applyFont="1">
      <alignment horizontal="center" readingOrder="0" shrinkToFit="0" vertical="center" wrapText="1"/>
    </xf>
    <xf borderId="44" fillId="0" fontId="4" numFmtId="0" xfId="0" applyAlignment="1" applyBorder="1" applyFont="1">
      <alignment horizontal="center" readingOrder="0" shrinkToFit="0" vertical="center" wrapText="1"/>
    </xf>
    <xf borderId="45" fillId="0" fontId="4" numFmtId="0" xfId="0" applyAlignment="1" applyBorder="1" applyFont="1">
      <alignment horizontal="center" readingOrder="0" shrinkToFit="0" vertical="center" wrapText="1"/>
    </xf>
    <xf borderId="49" fillId="0" fontId="4" numFmtId="0" xfId="0" applyAlignment="1" applyBorder="1" applyFont="1">
      <alignment horizontal="center" readingOrder="0" shrinkToFit="0" vertical="center" wrapText="1"/>
    </xf>
    <xf borderId="46" fillId="2" fontId="4" numFmtId="0" xfId="0" applyAlignment="1" applyBorder="1" applyFont="1">
      <alignment horizontal="center" shrinkToFit="0" vertical="center" wrapText="1"/>
    </xf>
    <xf borderId="3" fillId="4" fontId="31" numFmtId="0" xfId="0" applyAlignment="1" applyBorder="1" applyFont="1">
      <alignment horizontal="center" readingOrder="0" shrinkToFit="0" vertical="center" wrapText="1"/>
    </xf>
    <xf borderId="25" fillId="0" fontId="4" numFmtId="0" xfId="0" applyAlignment="1" applyBorder="1" applyFont="1">
      <alignment horizontal="center" readingOrder="0" shrinkToFit="0" vertical="center" wrapText="1"/>
    </xf>
    <xf borderId="18" fillId="0" fontId="37" numFmtId="49" xfId="0" applyAlignment="1" applyBorder="1" applyFont="1" applyNumberFormat="1">
      <alignment horizontal="center" readingOrder="0" shrinkToFit="0" vertical="center" wrapText="1"/>
    </xf>
    <xf borderId="19" fillId="0" fontId="31" numFmtId="0" xfId="0" applyAlignment="1" applyBorder="1" applyFont="1">
      <alignment horizontal="center" readingOrder="0" shrinkToFit="0" vertical="center" wrapText="1"/>
    </xf>
    <xf borderId="3" fillId="20" fontId="4" numFmtId="0" xfId="0" applyAlignment="1" applyBorder="1" applyFont="1">
      <alignment horizontal="center" readingOrder="0" shrinkToFit="0" vertical="center" wrapText="1"/>
    </xf>
    <xf borderId="35" fillId="2" fontId="4" numFmtId="0" xfId="0" applyAlignment="1" applyBorder="1" applyFont="1">
      <alignment horizontal="center" readingOrder="0" shrinkToFit="0" vertical="center" wrapText="1"/>
    </xf>
    <xf borderId="36" fillId="2" fontId="4" numFmtId="0" xfId="0" applyAlignment="1" applyBorder="1" applyFont="1">
      <alignment horizontal="center" readingOrder="0" shrinkToFit="0" vertical="center" wrapText="1"/>
    </xf>
    <xf borderId="3" fillId="2" fontId="4" numFmtId="0" xfId="0" applyAlignment="1" applyBorder="1" applyFont="1">
      <alignment horizontal="center" shrinkToFit="0" vertical="center" wrapText="1"/>
    </xf>
    <xf borderId="19" fillId="2" fontId="4" numFmtId="0" xfId="0" applyAlignment="1" applyBorder="1" applyFont="1">
      <alignment horizontal="center" shrinkToFit="0" vertical="center" wrapText="1"/>
    </xf>
    <xf borderId="22" fillId="2" fontId="16" numFmtId="0" xfId="0" applyAlignment="1" applyBorder="1" applyFont="1">
      <alignment readingOrder="0" shrinkToFit="0" vertical="center" wrapText="1"/>
    </xf>
    <xf borderId="3" fillId="8" fontId="6" numFmtId="0" xfId="0" applyAlignment="1" applyBorder="1" applyFont="1">
      <alignment horizontal="center" readingOrder="0" shrinkToFit="0" vertical="center" wrapText="1"/>
    </xf>
    <xf borderId="4" fillId="8" fontId="6" numFmtId="0" xfId="0" applyAlignment="1" applyBorder="1" applyFont="1">
      <alignment horizontal="center" readingOrder="0" shrinkToFit="0" vertical="center" wrapText="1"/>
    </xf>
    <xf borderId="3" fillId="8" fontId="4" numFmtId="0" xfId="0" applyAlignment="1" applyBorder="1" applyFont="1">
      <alignment horizontal="center" readingOrder="0" shrinkToFit="0" vertical="center" wrapText="1"/>
    </xf>
    <xf borderId="19" fillId="8" fontId="4" numFmtId="0" xfId="0" applyAlignment="1" applyBorder="1" applyFont="1">
      <alignment horizontal="center" readingOrder="0" shrinkToFit="0" vertical="center" wrapText="1"/>
    </xf>
    <xf borderId="45" fillId="8" fontId="4" numFmtId="0" xfId="0" applyAlignment="1" applyBorder="1" applyFont="1">
      <alignment horizontal="center" readingOrder="0" shrinkToFit="0" vertical="center" wrapText="1"/>
    </xf>
    <xf borderId="44" fillId="8" fontId="4" numFmtId="0" xfId="0" applyAlignment="1" applyBorder="1" applyFont="1">
      <alignment horizontal="center" readingOrder="0" shrinkToFit="0" vertical="center" wrapText="1"/>
    </xf>
    <xf borderId="49" fillId="8" fontId="4" numFmtId="0" xfId="0" applyAlignment="1" applyBorder="1" applyFont="1">
      <alignment horizontal="center" readingOrder="0" shrinkToFit="0" vertical="center" wrapText="1"/>
    </xf>
    <xf borderId="1" fillId="8" fontId="4" numFmtId="0" xfId="0" applyAlignment="1" applyBorder="1" applyFont="1">
      <alignment horizontal="center" readingOrder="0" shrinkToFit="0" vertical="center" wrapText="1"/>
    </xf>
    <xf borderId="0" fillId="2" fontId="43" numFmtId="0" xfId="0" applyAlignment="1" applyFont="1">
      <alignment horizontal="center" readingOrder="0" shrinkToFit="0" vertical="center" wrapText="1"/>
    </xf>
    <xf borderId="3" fillId="13" fontId="32" numFmtId="0" xfId="0" applyAlignment="1" applyBorder="1" applyFont="1">
      <alignment horizontal="center" readingOrder="0" shrinkToFit="0" vertical="top" wrapText="1"/>
    </xf>
    <xf borderId="4" fillId="14" fontId="33" numFmtId="0" xfId="0" applyAlignment="1" applyBorder="1" applyFont="1">
      <alignment horizontal="center" readingOrder="0" shrinkToFit="0" vertical="top" wrapText="1"/>
    </xf>
    <xf borderId="4" fillId="13" fontId="32" numFmtId="0" xfId="0" applyAlignment="1" applyBorder="1" applyFont="1">
      <alignment horizontal="center" readingOrder="0" shrinkToFit="0" vertical="top" wrapText="1"/>
    </xf>
    <xf borderId="4" fillId="13" fontId="33" numFmtId="0" xfId="0" applyAlignment="1" applyBorder="1" applyFont="1">
      <alignment horizontal="center" readingOrder="0" shrinkToFit="0" vertical="top" wrapText="1"/>
    </xf>
    <xf borderId="49" fillId="14" fontId="33" numFmtId="0" xfId="0" applyAlignment="1" applyBorder="1" applyFont="1">
      <alignment horizontal="center" readingOrder="0" shrinkToFit="0" vertical="top" wrapText="1"/>
    </xf>
    <xf borderId="49" fillId="14" fontId="32" numFmtId="0" xfId="0" applyAlignment="1" applyBorder="1" applyFont="1">
      <alignment horizontal="center" readingOrder="0" shrinkToFit="0" vertical="top" wrapText="1"/>
    </xf>
    <xf borderId="1" fillId="0" fontId="34" numFmtId="49" xfId="0" applyAlignment="1" applyBorder="1" applyFont="1" applyNumberFormat="1">
      <alignment vertical="bottom"/>
    </xf>
    <xf borderId="45" fillId="0" fontId="29" numFmtId="49" xfId="0" applyAlignment="1" applyBorder="1" applyFont="1" applyNumberFormat="1">
      <alignment horizontal="center" readingOrder="0" vertical="bottom"/>
    </xf>
    <xf borderId="44" fillId="0" fontId="29" numFmtId="49" xfId="0" applyAlignment="1" applyBorder="1" applyFont="1" applyNumberFormat="1">
      <alignment horizontal="left" readingOrder="0" vertical="bottom"/>
    </xf>
    <xf borderId="44" fillId="0" fontId="41" numFmtId="0" xfId="0" applyAlignment="1" applyBorder="1" applyFont="1">
      <alignment horizontal="center" readingOrder="0" shrinkToFit="0" vertical="center" wrapText="1"/>
    </xf>
    <xf borderId="50" fillId="0" fontId="4" numFmtId="0" xfId="0" applyAlignment="1" applyBorder="1" applyFont="1">
      <alignment horizontal="center" readingOrder="0" vertical="bottom"/>
    </xf>
    <xf borderId="18" fillId="0" fontId="37" numFmtId="49" xfId="0" applyAlignment="1" applyBorder="1" applyFont="1" applyNumberFormat="1">
      <alignment horizontal="center" shrinkToFit="0" wrapText="1"/>
    </xf>
  </cellXfs>
  <cellStyles count="1">
    <cellStyle xfId="0" name="Normal" builtinId="0"/>
  </cellStyles>
  <dxfs count="2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Fp9mfP3QM2rcrRIyYKEfaM6w0g3DhV9x/view?usp=sharing" TargetMode="External"/><Relationship Id="rId22" Type="http://schemas.openxmlformats.org/officeDocument/2006/relationships/hyperlink" Target="https://drive.google.com/file/d/1RkEO4h4qcjLtYrjhYwI2zWWEqwYwokxG/view?usp=sharing" TargetMode="External"/><Relationship Id="rId21" Type="http://schemas.openxmlformats.org/officeDocument/2006/relationships/hyperlink" Target="https://drive.google.com/file/d/1BEKM1p_-J72i8TWl-G55JLFM5iyaPqpP/view?usp=sharing" TargetMode="External"/><Relationship Id="rId24" Type="http://schemas.openxmlformats.org/officeDocument/2006/relationships/hyperlink" Target="https://drive.google.com/file/d/1kQ5itoQpnLUMXqX8ksP-sH7IKGS-xjo-/view?usp=sharing" TargetMode="External"/><Relationship Id="rId23" Type="http://schemas.openxmlformats.org/officeDocument/2006/relationships/hyperlink" Target="https://drive.google.com/file/d/13IBxRrPD8UQ-QvMP3n5V5-e_VEMpstAq/view?usp=sharing" TargetMode="External"/><Relationship Id="rId1" Type="http://schemas.openxmlformats.org/officeDocument/2006/relationships/hyperlink" Target="https://www.bsuir.by/m/12_100229_1_185678.pdf" TargetMode="External"/><Relationship Id="rId2" Type="http://schemas.openxmlformats.org/officeDocument/2006/relationships/hyperlink" Target="https://www.bsuir.by/m/12_100229_1_136308.pdf" TargetMode="External"/><Relationship Id="rId3" Type="http://schemas.openxmlformats.org/officeDocument/2006/relationships/hyperlink" Target="https://docs.google.com/document/d/1ljnvXajrNrG5eFp6ovG9SDAlDmcw8zG4ay1hLu8L6Tk/edit?usp=sharing" TargetMode="External"/><Relationship Id="rId4" Type="http://schemas.openxmlformats.org/officeDocument/2006/relationships/hyperlink" Target="https://docs.google.com/document/d/178IAKBJPdntRNRw8Z5LqbQpc4bmfXJ_q0DZZoBZ5grg/edit?usp=sharing" TargetMode="External"/><Relationship Id="rId9" Type="http://schemas.openxmlformats.org/officeDocument/2006/relationships/hyperlink" Target="https://docs.google.com/document/d/1cx17gvYw7NSkRvhOB-A2lPaQnus2sTbK/edit?usp=sharing&amp;ouid=118236804748508327485&amp;rtpof=true&amp;sd=true" TargetMode="External"/><Relationship Id="rId26" Type="http://schemas.openxmlformats.org/officeDocument/2006/relationships/hyperlink" Target="https://drive.google.com/file/d/1-6QxxysFCWH0xQ-QJQNaNRLAaGFMVzHw/view?usp=sharing" TargetMode="External"/><Relationship Id="rId25" Type="http://schemas.openxmlformats.org/officeDocument/2006/relationships/hyperlink" Target="https://drive.google.com/file/d/1ByHWrB2Y4CvhiJ7JwENh0a_sz4K_b9Ha/view?usp=sharing" TargetMode="External"/><Relationship Id="rId28" Type="http://schemas.openxmlformats.org/officeDocument/2006/relationships/drawing" Target="../drawings/drawing1.xml"/><Relationship Id="rId27" Type="http://schemas.openxmlformats.org/officeDocument/2006/relationships/hyperlink" Target="https://drive.google.com/file/d/12vJbWyz2FJi3vkGXP1Ibw3nzl-tl_YNm/view?usp=sharing" TargetMode="External"/><Relationship Id="rId5" Type="http://schemas.openxmlformats.org/officeDocument/2006/relationships/hyperlink" Target="https://docs.google.com/document/d/19zpspitSkga-1y560JwAgCGCV2JLvhj8B8V4gWhhXrY/edit?usp=sharing" TargetMode="External"/><Relationship Id="rId6" Type="http://schemas.openxmlformats.org/officeDocument/2006/relationships/hyperlink" Target="https://docs.google.com/document/d/1M5U9jCleSsQVefjLw2_fvPLGNwDEUTqvcn5oMRKsm1E/edit?usp=sharing" TargetMode="External"/><Relationship Id="rId7" Type="http://schemas.openxmlformats.org/officeDocument/2006/relationships/hyperlink" Target="https://docs.google.com/document/d/1qlWSM8tjlyr760ifM_quBRcvDzVLa3TI/edit?usp=sharing&amp;ouid=118236804748508327485&amp;rtpof=true&amp;sd=true" TargetMode="External"/><Relationship Id="rId8" Type="http://schemas.openxmlformats.org/officeDocument/2006/relationships/hyperlink" Target="https://docs.google.com/document/d/14p9CFmk6tYRACeVRYNSVj1wS23fsgB_B/edit?usp=sharing&amp;ouid=118236804748508327485&amp;rtpof=true&amp;sd=true" TargetMode="External"/><Relationship Id="rId11" Type="http://schemas.openxmlformats.org/officeDocument/2006/relationships/hyperlink" Target="https://docs.google.com/document/d/1jrumYJmJpXR9UBw1uXLMgDoqcqMpdyV_/edit?usp=sharing&amp;ouid=118236804748508327485&amp;rtpof=true&amp;sd=true" TargetMode="External"/><Relationship Id="rId10" Type="http://schemas.openxmlformats.org/officeDocument/2006/relationships/hyperlink" Target="https://docs.google.com/document/d/1cnM5TvmQED_Wg8CUebDPh3WKLoJKSHpo/edit?usp=sharing&amp;ouid=118236804748508327485&amp;rtpof=true&amp;sd=true" TargetMode="External"/><Relationship Id="rId13" Type="http://schemas.openxmlformats.org/officeDocument/2006/relationships/hyperlink" Target="https://drive.google.com/file/d/1X1HYNRXMXBp1o_Zyz_IsDXXFhxn_0zMO/view?usp=sharing" TargetMode="External"/><Relationship Id="rId12" Type="http://schemas.openxmlformats.org/officeDocument/2006/relationships/hyperlink" Target="https://docs.google.com/document/d/14w6uHkwvX7ItjMa7ibtrONRQDyO9drSI/edit?usp=sharing&amp;ouid=118236804748508327485&amp;rtpof=true&amp;sd=true" TargetMode="External"/><Relationship Id="rId15" Type="http://schemas.openxmlformats.org/officeDocument/2006/relationships/hyperlink" Target="https://drive.google.com/file/d/1XduRYM-MH7pw1aau7CB9YnESdtYMLbCs/view?usp=sharing" TargetMode="External"/><Relationship Id="rId14" Type="http://schemas.openxmlformats.org/officeDocument/2006/relationships/hyperlink" Target="https://drive.google.com/file/d/1ZPhfevG0QXsr--5_IGq92kT3fAK5MI3d/view?usp=sharing" TargetMode="External"/><Relationship Id="rId17" Type="http://schemas.openxmlformats.org/officeDocument/2006/relationships/hyperlink" Target="https://drive.google.com/file/d/1EsipUZniGHL1_0GblnojPr2GhbGZ77-8/view?usp=sharing" TargetMode="External"/><Relationship Id="rId16" Type="http://schemas.openxmlformats.org/officeDocument/2006/relationships/hyperlink" Target="https://drive.google.com/file/d/1w-pAF8XL4BPihjAeL4W5qBhh-sXQ8W-a/view?usp=sharing" TargetMode="External"/><Relationship Id="rId19" Type="http://schemas.openxmlformats.org/officeDocument/2006/relationships/hyperlink" Target="https://drive.google.com/file/d/1-lObLUbej_CmQi2dbN3HaGggYrxFkUv3/view?usp=sharing" TargetMode="External"/><Relationship Id="rId18" Type="http://schemas.openxmlformats.org/officeDocument/2006/relationships/hyperlink" Target="https://drive.google.com/file/d/1ntrHm3q1AghiDpds7Q7llAffXrefYW0O/view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5.75"/>
    <col customWidth="1" min="2" max="2" width="23.38"/>
    <col customWidth="1" min="3" max="3" width="57.5"/>
  </cols>
  <sheetData>
    <row r="1">
      <c r="A1" s="1" t="s">
        <v>0</v>
      </c>
      <c r="B1" s="2"/>
      <c r="C1" s="3"/>
    </row>
    <row r="2">
      <c r="A2" s="4" t="s">
        <v>1</v>
      </c>
      <c r="B2" s="4" t="s">
        <v>2</v>
      </c>
      <c r="C2" s="4" t="s">
        <v>3</v>
      </c>
    </row>
    <row r="3">
      <c r="A3" s="5" t="s">
        <v>4</v>
      </c>
      <c r="B3" s="6" t="s">
        <v>5</v>
      </c>
      <c r="C3" s="7" t="s">
        <v>6</v>
      </c>
    </row>
    <row r="4">
      <c r="A4" s="5" t="s">
        <v>7</v>
      </c>
      <c r="B4" s="6" t="s">
        <v>8</v>
      </c>
      <c r="C4" s="7" t="s">
        <v>9</v>
      </c>
    </row>
    <row r="5">
      <c r="A5" s="5" t="s">
        <v>10</v>
      </c>
      <c r="B5" s="6" t="s">
        <v>5</v>
      </c>
      <c r="C5" s="7"/>
    </row>
    <row r="6">
      <c r="A6" s="5" t="s">
        <v>11</v>
      </c>
      <c r="B6" s="6" t="s">
        <v>5</v>
      </c>
      <c r="C6" s="7"/>
    </row>
    <row r="7" hidden="1">
      <c r="A7" s="8" t="s">
        <v>12</v>
      </c>
      <c r="B7" s="6" t="s">
        <v>5</v>
      </c>
      <c r="C7" s="9"/>
    </row>
    <row r="8">
      <c r="A8" s="10" t="s">
        <v>13</v>
      </c>
      <c r="B8" s="6" t="s">
        <v>5</v>
      </c>
      <c r="C8" s="9"/>
    </row>
    <row r="9">
      <c r="A9" s="11" t="s">
        <v>14</v>
      </c>
      <c r="B9" s="2"/>
      <c r="C9" s="3"/>
    </row>
    <row r="10">
      <c r="A10" s="12" t="s">
        <v>15</v>
      </c>
      <c r="B10" s="6" t="s">
        <v>5</v>
      </c>
      <c r="C10" s="9"/>
    </row>
    <row r="11">
      <c r="A11" s="12" t="s">
        <v>16</v>
      </c>
      <c r="B11" s="6" t="s">
        <v>5</v>
      </c>
      <c r="C11" s="7" t="s">
        <v>17</v>
      </c>
    </row>
    <row r="12">
      <c r="A12" s="12" t="s">
        <v>18</v>
      </c>
      <c r="B12" s="6" t="s">
        <v>5</v>
      </c>
      <c r="C12" s="13"/>
    </row>
    <row r="13">
      <c r="A13" s="12" t="s">
        <v>19</v>
      </c>
      <c r="B13" s="6" t="s">
        <v>5</v>
      </c>
      <c r="C13" s="7" t="s">
        <v>20</v>
      </c>
    </row>
    <row r="14">
      <c r="A14" s="12" t="s">
        <v>21</v>
      </c>
      <c r="B14" s="6" t="s">
        <v>5</v>
      </c>
      <c r="C14" s="13"/>
    </row>
    <row r="15">
      <c r="A15" s="7" t="s">
        <v>22</v>
      </c>
      <c r="B15" s="6" t="s">
        <v>5</v>
      </c>
      <c r="C15" s="7" t="s">
        <v>23</v>
      </c>
    </row>
    <row r="16">
      <c r="A16" s="11" t="s">
        <v>24</v>
      </c>
      <c r="B16" s="2"/>
      <c r="C16" s="3"/>
    </row>
    <row r="17">
      <c r="A17" s="7" t="s">
        <v>25</v>
      </c>
      <c r="B17" s="6" t="s">
        <v>5</v>
      </c>
      <c r="C17" s="7" t="s">
        <v>26</v>
      </c>
    </row>
    <row r="18">
      <c r="A18" s="7" t="s">
        <v>27</v>
      </c>
      <c r="B18" s="6" t="s">
        <v>5</v>
      </c>
      <c r="C18" s="7" t="s">
        <v>26</v>
      </c>
    </row>
    <row r="19">
      <c r="A19" s="11" t="s">
        <v>28</v>
      </c>
      <c r="B19" s="2"/>
      <c r="C19" s="3"/>
    </row>
    <row r="20">
      <c r="A20" s="12" t="s">
        <v>29</v>
      </c>
      <c r="B20" s="6" t="s">
        <v>5</v>
      </c>
      <c r="C20" s="13"/>
    </row>
    <row r="21">
      <c r="A21" s="12" t="s">
        <v>30</v>
      </c>
      <c r="B21" s="6" t="s">
        <v>5</v>
      </c>
      <c r="C21" s="13"/>
    </row>
    <row r="22">
      <c r="A22" s="12" t="s">
        <v>31</v>
      </c>
      <c r="B22" s="6" t="s">
        <v>5</v>
      </c>
      <c r="C22" s="13"/>
    </row>
    <row r="23">
      <c r="A23" s="12" t="s">
        <v>32</v>
      </c>
      <c r="B23" s="6" t="s">
        <v>5</v>
      </c>
      <c r="C23" s="13"/>
    </row>
    <row r="24">
      <c r="A24" s="12" t="s">
        <v>33</v>
      </c>
      <c r="B24" s="6" t="s">
        <v>5</v>
      </c>
      <c r="C24" s="13"/>
    </row>
    <row r="25">
      <c r="A25" s="11" t="s">
        <v>34</v>
      </c>
      <c r="B25" s="2"/>
      <c r="C25" s="3"/>
    </row>
    <row r="26">
      <c r="A26" s="12" t="s">
        <v>35</v>
      </c>
      <c r="B26" s="6" t="s">
        <v>5</v>
      </c>
      <c r="C26" s="7" t="s">
        <v>36</v>
      </c>
    </row>
    <row r="27">
      <c r="A27" s="12" t="s">
        <v>37</v>
      </c>
      <c r="B27" s="6" t="s">
        <v>5</v>
      </c>
      <c r="C27" s="13"/>
    </row>
    <row r="28">
      <c r="A28" s="12" t="s">
        <v>38</v>
      </c>
      <c r="B28" s="6" t="s">
        <v>5</v>
      </c>
      <c r="C28" s="13"/>
    </row>
    <row r="29">
      <c r="A29" s="12" t="s">
        <v>39</v>
      </c>
      <c r="B29" s="6" t="s">
        <v>5</v>
      </c>
      <c r="C29" s="7" t="s">
        <v>40</v>
      </c>
    </row>
    <row r="30">
      <c r="A30" s="12" t="s">
        <v>41</v>
      </c>
      <c r="B30" s="6" t="s">
        <v>5</v>
      </c>
      <c r="C30" s="7"/>
    </row>
    <row r="31">
      <c r="A31" s="12" t="s">
        <v>42</v>
      </c>
      <c r="B31" s="6" t="s">
        <v>5</v>
      </c>
      <c r="C31" s="13"/>
    </row>
    <row r="32">
      <c r="A32" s="14" t="s">
        <v>43</v>
      </c>
      <c r="B32" s="15" t="s">
        <v>5</v>
      </c>
      <c r="C32" s="16"/>
    </row>
    <row r="33">
      <c r="A33" s="14" t="s">
        <v>44</v>
      </c>
      <c r="B33" s="15" t="s">
        <v>5</v>
      </c>
      <c r="C33" s="16"/>
    </row>
    <row r="34">
      <c r="A34" s="17" t="s">
        <v>45</v>
      </c>
    </row>
  </sheetData>
  <mergeCells count="6">
    <mergeCell ref="A1:C1"/>
    <mergeCell ref="A9:C9"/>
    <mergeCell ref="A16:C16"/>
    <mergeCell ref="A19:C19"/>
    <mergeCell ref="A25:C25"/>
    <mergeCell ref="A34:C34"/>
  </mergeCells>
  <hyperlinks>
    <hyperlink r:id="rId1" ref="B3"/>
    <hyperlink r:id="rId2" ref="B4"/>
    <hyperlink r:id="rId3" ref="B5"/>
    <hyperlink r:id="rId4" ref="B6"/>
    <hyperlink r:id="rId5" ref="B7"/>
    <hyperlink r:id="rId6" ref="B8"/>
    <hyperlink r:id="rId7" ref="B10"/>
    <hyperlink r:id="rId8" ref="B11"/>
    <hyperlink r:id="rId9" ref="B12"/>
    <hyperlink r:id="rId10" ref="B13"/>
    <hyperlink r:id="rId11" ref="B14"/>
    <hyperlink r:id="rId12" ref="B15"/>
    <hyperlink r:id="rId13" ref="B17"/>
    <hyperlink r:id="rId14" ref="B18"/>
    <hyperlink r:id="rId15" ref="B20"/>
    <hyperlink r:id="rId16" ref="B21"/>
    <hyperlink r:id="rId17" ref="B22"/>
    <hyperlink r:id="rId18" ref="B23"/>
    <hyperlink r:id="rId19" ref="B24"/>
    <hyperlink r:id="rId20" ref="B26"/>
    <hyperlink r:id="rId21" ref="B27"/>
    <hyperlink r:id="rId22" ref="B28"/>
    <hyperlink r:id="rId23" ref="B29"/>
    <hyperlink r:id="rId24" ref="B30"/>
    <hyperlink r:id="rId25" ref="B31"/>
    <hyperlink r:id="rId26" ref="B32"/>
    <hyperlink r:id="rId27" ref="B33"/>
  </hyperlinks>
  <drawing r:id="rId2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8.75"/>
    <col customWidth="1" min="2" max="2" width="23.0"/>
    <col customWidth="1" min="3" max="3" width="25.88"/>
    <col customWidth="1" min="4" max="9" width="20.13"/>
    <col customWidth="1" min="10" max="10" width="25.5"/>
    <col customWidth="1" min="11" max="11" width="20.13"/>
    <col customWidth="1" min="12" max="12" width="19.25"/>
  </cols>
  <sheetData>
    <row r="1">
      <c r="A1" s="18"/>
      <c r="B1" s="19" t="s">
        <v>46</v>
      </c>
      <c r="C1" s="2"/>
      <c r="D1" s="2"/>
      <c r="E1" s="2"/>
      <c r="F1" s="2"/>
      <c r="G1" s="2"/>
      <c r="H1" s="3"/>
      <c r="I1" s="18"/>
      <c r="J1" s="18"/>
      <c r="K1" s="18"/>
      <c r="L1" s="20" t="s">
        <v>47</v>
      </c>
    </row>
    <row r="2">
      <c r="B2" s="21" t="s">
        <v>48</v>
      </c>
      <c r="C2" s="22" t="s">
        <v>49</v>
      </c>
      <c r="D2" s="23"/>
      <c r="E2" s="24"/>
      <c r="F2" s="25" t="s">
        <v>50</v>
      </c>
      <c r="G2" s="23"/>
      <c r="H2" s="24"/>
      <c r="I2" s="26" t="s">
        <v>51</v>
      </c>
      <c r="J2" s="23"/>
      <c r="K2" s="24"/>
    </row>
    <row r="3" hidden="1">
      <c r="A3" s="27" t="s">
        <v>52</v>
      </c>
      <c r="B3" s="28"/>
      <c r="C3" s="29"/>
      <c r="D3" s="30"/>
      <c r="E3" s="31"/>
      <c r="F3" s="32"/>
      <c r="G3" s="33"/>
      <c r="H3" s="34"/>
      <c r="I3" s="35"/>
      <c r="J3" s="35"/>
      <c r="K3" s="35"/>
      <c r="L3" s="36" t="s">
        <v>53</v>
      </c>
    </row>
    <row r="4" hidden="1">
      <c r="B4" s="37" t="s">
        <v>54</v>
      </c>
      <c r="C4" s="38" t="s">
        <v>55</v>
      </c>
      <c r="D4" s="2"/>
      <c r="E4" s="2"/>
      <c r="F4" s="2"/>
      <c r="G4" s="2"/>
      <c r="H4" s="2"/>
      <c r="I4" s="2"/>
      <c r="J4" s="2"/>
      <c r="K4" s="39"/>
      <c r="L4" s="40"/>
    </row>
    <row r="5" hidden="1">
      <c r="B5" s="37" t="s">
        <v>56</v>
      </c>
      <c r="C5" s="41"/>
      <c r="D5" s="42"/>
      <c r="E5" s="43"/>
      <c r="F5" s="44"/>
      <c r="G5" s="45"/>
      <c r="H5" s="46"/>
      <c r="I5" s="47"/>
      <c r="J5" s="47"/>
      <c r="K5" s="47"/>
      <c r="L5" s="40"/>
    </row>
    <row r="6" hidden="1">
      <c r="B6" s="48" t="s">
        <v>57</v>
      </c>
      <c r="C6" s="49" t="s">
        <v>58</v>
      </c>
      <c r="D6" s="49" t="s">
        <v>59</v>
      </c>
      <c r="E6" s="50" t="s">
        <v>60</v>
      </c>
      <c r="F6" s="51"/>
      <c r="G6" s="52"/>
      <c r="H6" s="53"/>
      <c r="I6" s="54" t="s">
        <v>61</v>
      </c>
      <c r="J6" s="55" t="s">
        <v>62</v>
      </c>
      <c r="K6" s="56" t="s">
        <v>63</v>
      </c>
      <c r="L6" s="57"/>
    </row>
    <row r="7" hidden="1">
      <c r="B7" s="58" t="s">
        <v>64</v>
      </c>
      <c r="C7" s="49" t="s">
        <v>65</v>
      </c>
      <c r="D7" s="49" t="s">
        <v>66</v>
      </c>
      <c r="E7" s="50" t="s">
        <v>60</v>
      </c>
      <c r="F7" s="59" t="s">
        <v>67</v>
      </c>
      <c r="G7" s="59" t="s">
        <v>68</v>
      </c>
      <c r="H7" s="53" t="s">
        <v>60</v>
      </c>
      <c r="I7" s="54" t="s">
        <v>69</v>
      </c>
      <c r="J7" s="60" t="s">
        <v>70</v>
      </c>
      <c r="K7" s="56" t="s">
        <v>63</v>
      </c>
      <c r="L7" s="36" t="s">
        <v>71</v>
      </c>
    </row>
    <row r="8" hidden="1">
      <c r="B8" s="61" t="s">
        <v>72</v>
      </c>
      <c r="C8" s="49" t="s">
        <v>73</v>
      </c>
      <c r="D8" s="49" t="s">
        <v>74</v>
      </c>
      <c r="E8" s="50" t="s">
        <v>60</v>
      </c>
      <c r="F8" s="59"/>
      <c r="G8" s="62"/>
      <c r="H8" s="53"/>
      <c r="I8" s="54" t="s">
        <v>75</v>
      </c>
      <c r="J8" s="60" t="s">
        <v>76</v>
      </c>
      <c r="K8" s="56" t="s">
        <v>63</v>
      </c>
      <c r="L8" s="40"/>
    </row>
    <row r="9" hidden="1">
      <c r="A9" s="63"/>
      <c r="B9" s="64"/>
      <c r="C9" s="65" t="s">
        <v>77</v>
      </c>
      <c r="D9" s="66"/>
      <c r="E9" s="66"/>
      <c r="F9" s="66"/>
      <c r="G9" s="66"/>
      <c r="H9" s="66"/>
      <c r="I9" s="66"/>
      <c r="J9" s="66"/>
      <c r="K9" s="67"/>
      <c r="L9" s="40"/>
    </row>
    <row r="10" hidden="1">
      <c r="A10" s="63" t="s">
        <v>78</v>
      </c>
      <c r="B10" s="64" t="s">
        <v>79</v>
      </c>
      <c r="C10" s="68">
        <v>46120.0</v>
      </c>
      <c r="D10" s="49" t="s">
        <v>80</v>
      </c>
      <c r="E10" s="50" t="s">
        <v>60</v>
      </c>
      <c r="F10" s="59"/>
      <c r="G10" s="59"/>
      <c r="H10" s="53"/>
      <c r="I10" s="69">
        <v>46122.0</v>
      </c>
      <c r="J10" s="54" t="s">
        <v>81</v>
      </c>
      <c r="K10" s="56" t="s">
        <v>82</v>
      </c>
      <c r="L10" s="57"/>
    </row>
    <row r="11" hidden="1">
      <c r="B11" s="64" t="s">
        <v>83</v>
      </c>
      <c r="C11" s="49" t="s">
        <v>84</v>
      </c>
      <c r="D11" s="49" t="s">
        <v>85</v>
      </c>
      <c r="E11" s="50" t="s">
        <v>60</v>
      </c>
      <c r="F11" s="70">
        <v>46125.0</v>
      </c>
      <c r="G11" s="71" t="s">
        <v>86</v>
      </c>
      <c r="H11" s="72" t="s">
        <v>60</v>
      </c>
      <c r="I11" s="73" t="s">
        <v>87</v>
      </c>
      <c r="J11" s="74" t="s">
        <v>88</v>
      </c>
      <c r="K11" s="75" t="s">
        <v>63</v>
      </c>
      <c r="L11" s="36" t="s">
        <v>89</v>
      </c>
    </row>
    <row r="12" ht="46.5" hidden="1" customHeight="1">
      <c r="B12" s="64" t="s">
        <v>90</v>
      </c>
      <c r="C12" s="49" t="s">
        <v>91</v>
      </c>
      <c r="D12" s="49" t="s">
        <v>92</v>
      </c>
      <c r="E12" s="50" t="s">
        <v>60</v>
      </c>
      <c r="F12" s="70">
        <v>46134.0</v>
      </c>
      <c r="G12" s="71" t="s">
        <v>93</v>
      </c>
      <c r="H12" s="72" t="s">
        <v>60</v>
      </c>
      <c r="I12" s="76">
        <v>46135.0</v>
      </c>
      <c r="J12" s="74" t="s">
        <v>94</v>
      </c>
      <c r="K12" s="75" t="s">
        <v>63</v>
      </c>
      <c r="L12" s="40"/>
    </row>
    <row r="13">
      <c r="B13" s="64" t="s">
        <v>95</v>
      </c>
      <c r="C13" s="49" t="s">
        <v>96</v>
      </c>
      <c r="D13" s="49" t="s">
        <v>97</v>
      </c>
      <c r="E13" s="50" t="s">
        <v>60</v>
      </c>
      <c r="F13" s="77" t="s">
        <v>98</v>
      </c>
      <c r="G13" s="59" t="s">
        <v>99</v>
      </c>
      <c r="H13" s="72" t="s">
        <v>60</v>
      </c>
      <c r="I13" s="73" t="s">
        <v>100</v>
      </c>
      <c r="J13" s="74" t="s">
        <v>101</v>
      </c>
      <c r="K13" s="75" t="s">
        <v>63</v>
      </c>
      <c r="L13" s="57"/>
    </row>
    <row r="14">
      <c r="B14" s="64" t="s">
        <v>102</v>
      </c>
      <c r="C14" s="68">
        <v>46148.0</v>
      </c>
      <c r="D14" s="49" t="s">
        <v>103</v>
      </c>
      <c r="E14" s="50" t="s">
        <v>60</v>
      </c>
      <c r="F14" s="59"/>
      <c r="G14" s="59"/>
      <c r="H14" s="72"/>
      <c r="I14" s="54" t="s">
        <v>104</v>
      </c>
      <c r="J14" s="54" t="s">
        <v>105</v>
      </c>
      <c r="K14" s="75" t="s">
        <v>63</v>
      </c>
      <c r="L14" s="36" t="s">
        <v>106</v>
      </c>
    </row>
    <row r="15">
      <c r="B15" s="64" t="s">
        <v>107</v>
      </c>
      <c r="C15" s="49" t="s">
        <v>108</v>
      </c>
      <c r="D15" s="49" t="s">
        <v>109</v>
      </c>
      <c r="E15" s="50" t="s">
        <v>60</v>
      </c>
      <c r="F15" s="70">
        <v>46158.0</v>
      </c>
      <c r="G15" s="59" t="s">
        <v>110</v>
      </c>
      <c r="H15" s="72" t="s">
        <v>60</v>
      </c>
      <c r="I15" s="54" t="s">
        <v>111</v>
      </c>
      <c r="J15" s="54" t="s">
        <v>112</v>
      </c>
      <c r="K15" s="75" t="s">
        <v>113</v>
      </c>
      <c r="L15" s="40"/>
    </row>
    <row r="16">
      <c r="B16" s="64" t="s">
        <v>114</v>
      </c>
      <c r="C16" s="49" t="s">
        <v>115</v>
      </c>
      <c r="D16" s="49" t="s">
        <v>116</v>
      </c>
      <c r="E16" s="50" t="s">
        <v>60</v>
      </c>
      <c r="F16" s="59"/>
      <c r="G16" s="59"/>
      <c r="H16" s="72"/>
      <c r="I16" s="54"/>
      <c r="J16" s="54"/>
      <c r="K16" s="75"/>
      <c r="L16" s="57"/>
    </row>
    <row r="17">
      <c r="A17" s="63"/>
      <c r="B17" s="64" t="s">
        <v>117</v>
      </c>
      <c r="C17" s="49"/>
      <c r="D17" s="49" t="s">
        <v>118</v>
      </c>
      <c r="E17" s="50" t="s">
        <v>60</v>
      </c>
      <c r="F17" s="59"/>
      <c r="G17" s="59"/>
      <c r="H17" s="72"/>
      <c r="I17" s="54"/>
      <c r="J17" s="54"/>
      <c r="K17" s="75"/>
      <c r="L17" s="78"/>
    </row>
    <row r="18">
      <c r="A18" s="79"/>
      <c r="B18" s="79" t="s">
        <v>119</v>
      </c>
      <c r="C18" s="17" t="s">
        <v>120</v>
      </c>
      <c r="F18" s="80" t="s">
        <v>121</v>
      </c>
      <c r="I18" s="81" t="s">
        <v>122</v>
      </c>
      <c r="L18" s="81"/>
    </row>
    <row r="19">
      <c r="A19" s="79"/>
      <c r="B19" s="79"/>
      <c r="C19" s="17"/>
      <c r="F19" s="80"/>
      <c r="G19" s="80"/>
      <c r="H19" s="80"/>
      <c r="I19" s="80"/>
      <c r="J19" s="80"/>
      <c r="K19" s="80"/>
      <c r="L19" s="81"/>
    </row>
  </sheetData>
  <mergeCells count="18">
    <mergeCell ref="I2:K2"/>
    <mergeCell ref="C4:K4"/>
    <mergeCell ref="A1:A2"/>
    <mergeCell ref="B1:H1"/>
    <mergeCell ref="L1:L2"/>
    <mergeCell ref="C2:E2"/>
    <mergeCell ref="F2:H2"/>
    <mergeCell ref="A3:A8"/>
    <mergeCell ref="L3:L6"/>
    <mergeCell ref="C18:E18"/>
    <mergeCell ref="C19:E19"/>
    <mergeCell ref="L7:L10"/>
    <mergeCell ref="C9:K9"/>
    <mergeCell ref="A10:A16"/>
    <mergeCell ref="L11:L13"/>
    <mergeCell ref="L14:L16"/>
    <mergeCell ref="F18:H18"/>
    <mergeCell ref="I18:K1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9.38"/>
    <col customWidth="1" min="3" max="3" width="32.0"/>
    <col customWidth="1" min="4" max="4" width="19.38"/>
    <col customWidth="1" min="5" max="5" width="9.38"/>
    <col customWidth="1" min="6" max="6" width="32.0"/>
    <col customWidth="1" min="9" max="9" width="29.63"/>
    <col customWidth="1" min="12" max="12" width="28.75"/>
  </cols>
  <sheetData>
    <row r="2">
      <c r="B2" s="82"/>
      <c r="C2" s="82"/>
      <c r="D2" s="83"/>
      <c r="E2" s="84"/>
      <c r="F2" s="84"/>
      <c r="G2" s="83"/>
      <c r="H2" s="84"/>
      <c r="I2" s="84"/>
    </row>
    <row r="3">
      <c r="B3" s="85"/>
      <c r="C3" s="85"/>
      <c r="D3" s="83"/>
      <c r="E3" s="84"/>
      <c r="F3" s="84"/>
      <c r="G3" s="83"/>
      <c r="H3" s="84"/>
      <c r="I3" s="84"/>
    </row>
    <row r="4">
      <c r="B4" s="86">
        <v>46157.0</v>
      </c>
      <c r="D4" s="83"/>
      <c r="G4" s="83"/>
    </row>
    <row r="5">
      <c r="B5" s="87" t="s">
        <v>123</v>
      </c>
      <c r="C5" s="88" t="s">
        <v>124</v>
      </c>
      <c r="D5" s="83"/>
      <c r="G5" s="83"/>
    </row>
    <row r="6">
      <c r="B6" s="87" t="s">
        <v>125</v>
      </c>
      <c r="C6" s="88" t="s">
        <v>126</v>
      </c>
      <c r="D6" s="83"/>
      <c r="G6" s="83"/>
    </row>
    <row r="7">
      <c r="B7" s="87" t="s">
        <v>125</v>
      </c>
      <c r="C7" s="89" t="s">
        <v>127</v>
      </c>
      <c r="D7" s="83"/>
      <c r="G7" s="83"/>
    </row>
    <row r="8">
      <c r="B8" s="87" t="s">
        <v>123</v>
      </c>
      <c r="C8" s="88" t="s">
        <v>128</v>
      </c>
      <c r="D8" s="83"/>
      <c r="G8" s="83"/>
    </row>
    <row r="9">
      <c r="B9" s="87" t="s">
        <v>123</v>
      </c>
      <c r="C9" s="89" t="s">
        <v>129</v>
      </c>
      <c r="D9" s="90"/>
      <c r="G9" s="83"/>
    </row>
    <row r="10">
      <c r="B10" s="87"/>
      <c r="C10" s="87"/>
      <c r="D10" s="90"/>
      <c r="G10" s="83"/>
    </row>
    <row r="11">
      <c r="B11" s="87" t="s">
        <v>123</v>
      </c>
      <c r="C11" s="88" t="s">
        <v>130</v>
      </c>
      <c r="D11" s="90"/>
      <c r="G11" s="83"/>
    </row>
    <row r="12">
      <c r="B12" s="87" t="s">
        <v>131</v>
      </c>
      <c r="C12" s="88" t="s">
        <v>132</v>
      </c>
      <c r="D12" s="90"/>
      <c r="G12" s="83"/>
    </row>
    <row r="13">
      <c r="B13" s="87" t="s">
        <v>125</v>
      </c>
      <c r="C13" s="88" t="s">
        <v>133</v>
      </c>
      <c r="D13" s="90"/>
      <c r="G13" s="83"/>
    </row>
    <row r="14">
      <c r="B14" s="87" t="s">
        <v>123</v>
      </c>
      <c r="C14" s="88" t="s">
        <v>134</v>
      </c>
      <c r="D14" s="90"/>
      <c r="G14" s="83"/>
    </row>
    <row r="15">
      <c r="B15" s="87" t="s">
        <v>125</v>
      </c>
      <c r="C15" s="88" t="s">
        <v>135</v>
      </c>
      <c r="D15" s="90"/>
      <c r="G15" s="83"/>
    </row>
    <row r="16">
      <c r="B16" s="87" t="s">
        <v>131</v>
      </c>
      <c r="C16" s="88" t="s">
        <v>136</v>
      </c>
      <c r="D16" s="90"/>
      <c r="G16" s="83"/>
    </row>
    <row r="17">
      <c r="B17" s="87" t="s">
        <v>131</v>
      </c>
      <c r="C17" s="88" t="s">
        <v>137</v>
      </c>
      <c r="D17" s="90"/>
      <c r="G17" s="83"/>
    </row>
    <row r="18">
      <c r="B18" s="87" t="s">
        <v>131</v>
      </c>
      <c r="C18" s="88" t="s">
        <v>138</v>
      </c>
      <c r="D18" s="90"/>
      <c r="G18" s="83"/>
    </row>
    <row r="19">
      <c r="B19" s="87" t="s">
        <v>125</v>
      </c>
      <c r="C19" s="88" t="s">
        <v>139</v>
      </c>
      <c r="D19" s="90"/>
      <c r="G19" s="83"/>
    </row>
    <row r="20">
      <c r="B20" s="87" t="s">
        <v>125</v>
      </c>
      <c r="C20" s="88" t="s">
        <v>140</v>
      </c>
      <c r="G20" s="83"/>
      <c r="H20" s="83"/>
      <c r="I20" s="83"/>
      <c r="J20" s="90"/>
      <c r="K20" s="83"/>
      <c r="L20" s="83"/>
    </row>
    <row r="21">
      <c r="B21" s="87" t="s">
        <v>131</v>
      </c>
      <c r="C21" s="88" t="s">
        <v>141</v>
      </c>
      <c r="D21" s="90"/>
      <c r="H21" s="83"/>
      <c r="I21" s="83"/>
    </row>
    <row r="22">
      <c r="B22" s="87" t="s">
        <v>123</v>
      </c>
      <c r="C22" s="88" t="s">
        <v>142</v>
      </c>
      <c r="D22" s="87"/>
      <c r="H22" s="91"/>
      <c r="I22" s="91"/>
      <c r="K22" s="85"/>
      <c r="L22" s="85"/>
    </row>
    <row r="23">
      <c r="B23" s="87" t="s">
        <v>131</v>
      </c>
      <c r="C23" s="88" t="s">
        <v>143</v>
      </c>
      <c r="E23" s="85"/>
      <c r="F23" s="85"/>
      <c r="H23" s="90"/>
    </row>
    <row r="24">
      <c r="B24" s="92"/>
      <c r="E24" s="87"/>
      <c r="F24" s="87"/>
      <c r="H24" s="90"/>
    </row>
    <row r="25">
      <c r="B25" s="87"/>
      <c r="C25" s="87"/>
      <c r="E25" s="87"/>
      <c r="F25" s="87"/>
      <c r="H25" s="90"/>
    </row>
    <row r="26">
      <c r="B26" s="87"/>
      <c r="C26" s="87"/>
      <c r="E26" s="87"/>
      <c r="F26" s="87"/>
      <c r="H26" s="90"/>
    </row>
    <row r="27">
      <c r="B27" s="87"/>
      <c r="C27" s="87"/>
      <c r="E27" s="87"/>
      <c r="F27" s="87"/>
      <c r="H27" s="90"/>
    </row>
    <row r="28">
      <c r="B28" s="87"/>
      <c r="C28" s="87"/>
      <c r="E28" s="87"/>
      <c r="F28" s="87"/>
      <c r="H28" s="90"/>
    </row>
    <row r="29">
      <c r="B29" s="87"/>
      <c r="C29" s="87"/>
      <c r="E29" s="87"/>
      <c r="F29" s="87"/>
      <c r="H29" s="90"/>
    </row>
    <row r="30">
      <c r="B30" s="87"/>
      <c r="C30" s="87"/>
      <c r="E30" s="87"/>
      <c r="F30" s="87"/>
      <c r="H30" s="90"/>
    </row>
    <row r="31">
      <c r="B31" s="87"/>
      <c r="C31" s="87"/>
      <c r="E31" s="87"/>
      <c r="F31" s="87"/>
      <c r="H31" s="90"/>
    </row>
    <row r="32">
      <c r="B32" s="87"/>
      <c r="C32" s="87"/>
      <c r="E32" s="87"/>
      <c r="F32" s="87"/>
      <c r="H32" s="90"/>
    </row>
    <row r="33">
      <c r="B33" s="87"/>
      <c r="C33" s="87"/>
      <c r="D33" s="87"/>
      <c r="E33" s="87"/>
      <c r="F33" s="87"/>
      <c r="H33" s="90"/>
    </row>
    <row r="34">
      <c r="B34" s="87"/>
      <c r="C34" s="87"/>
      <c r="D34" s="87"/>
      <c r="E34" s="87"/>
      <c r="F34" s="87"/>
      <c r="H34" s="90"/>
    </row>
    <row r="35">
      <c r="B35" s="87"/>
      <c r="C35" s="87"/>
      <c r="D35" s="87"/>
      <c r="E35" s="87"/>
      <c r="F35" s="87"/>
      <c r="H35" s="87"/>
    </row>
    <row r="36">
      <c r="B36" s="87"/>
      <c r="C36" s="87"/>
      <c r="D36" s="87"/>
      <c r="E36" s="87"/>
      <c r="F36" s="87"/>
      <c r="H36" s="87"/>
    </row>
    <row r="37">
      <c r="B37" s="87"/>
      <c r="C37" s="87"/>
      <c r="D37" s="87"/>
      <c r="E37" s="87"/>
      <c r="F37" s="87"/>
      <c r="H37" s="87"/>
    </row>
    <row r="38">
      <c r="B38" s="87"/>
      <c r="C38" s="87"/>
      <c r="D38" s="87"/>
      <c r="E38" s="87"/>
      <c r="F38" s="87"/>
      <c r="H38" s="87"/>
    </row>
    <row r="39">
      <c r="B39" s="87"/>
      <c r="C39" s="87"/>
      <c r="D39" s="87"/>
      <c r="E39" s="87"/>
      <c r="F39" s="87"/>
    </row>
    <row r="40">
      <c r="B40" s="87"/>
      <c r="C40" s="87"/>
      <c r="D40" s="87"/>
      <c r="E40" s="87"/>
      <c r="F40" s="87"/>
    </row>
    <row r="41">
      <c r="B41" s="87"/>
      <c r="C41" s="87"/>
      <c r="D41" s="87"/>
    </row>
    <row r="42">
      <c r="B42" s="90"/>
      <c r="C42" s="90"/>
      <c r="D42" s="90"/>
    </row>
    <row r="45">
      <c r="B45" s="87"/>
      <c r="C45" s="87"/>
    </row>
    <row r="46">
      <c r="B46" s="87"/>
      <c r="C46" s="87"/>
    </row>
    <row r="47">
      <c r="B47" s="87"/>
      <c r="C47" s="87"/>
    </row>
    <row r="48">
      <c r="B48" s="87"/>
      <c r="C48" s="87"/>
    </row>
    <row r="49">
      <c r="B49" s="87"/>
      <c r="C49" s="87"/>
    </row>
    <row r="50">
      <c r="B50" s="87"/>
      <c r="C50" s="87"/>
    </row>
    <row r="51">
      <c r="B51" s="87"/>
      <c r="C51" s="87"/>
    </row>
    <row r="52">
      <c r="B52" s="87"/>
      <c r="C52" s="87"/>
    </row>
    <row r="53">
      <c r="B53" s="84"/>
      <c r="D53" s="93"/>
      <c r="E53" s="84"/>
      <c r="G53" s="93"/>
    </row>
    <row r="54">
      <c r="B54" s="90"/>
      <c r="C54" s="90"/>
      <c r="D54" s="90"/>
      <c r="E54" s="90"/>
      <c r="F54" s="87"/>
      <c r="G54" s="94"/>
    </row>
    <row r="55">
      <c r="B55" s="90"/>
      <c r="C55" s="90"/>
      <c r="D55" s="90"/>
      <c r="E55" s="90"/>
      <c r="F55" s="87"/>
      <c r="G55" s="94"/>
    </row>
    <row r="56">
      <c r="B56" s="90"/>
      <c r="C56" s="90"/>
      <c r="D56" s="90"/>
      <c r="E56" s="90"/>
      <c r="F56" s="87"/>
      <c r="G56" s="94"/>
    </row>
    <row r="57">
      <c r="B57" s="90"/>
      <c r="C57" s="90"/>
      <c r="D57" s="90"/>
      <c r="E57" s="90"/>
      <c r="F57" s="87"/>
      <c r="G57" s="94"/>
    </row>
    <row r="58">
      <c r="B58" s="90"/>
      <c r="C58" s="90"/>
      <c r="D58" s="90"/>
      <c r="E58" s="90"/>
      <c r="F58" s="87"/>
      <c r="G58" s="94"/>
    </row>
    <row r="59">
      <c r="B59" s="90"/>
      <c r="C59" s="90"/>
      <c r="D59" s="90"/>
      <c r="E59" s="90"/>
      <c r="F59" s="87"/>
      <c r="G59" s="94"/>
    </row>
    <row r="60">
      <c r="B60" s="90"/>
      <c r="C60" s="90"/>
      <c r="D60" s="90"/>
      <c r="E60" s="90"/>
      <c r="F60" s="87"/>
      <c r="G60" s="94"/>
    </row>
    <row r="61">
      <c r="B61" s="90"/>
      <c r="C61" s="90"/>
      <c r="D61" s="90"/>
      <c r="E61" s="90"/>
      <c r="F61" s="87"/>
      <c r="G61" s="94"/>
    </row>
    <row r="62">
      <c r="B62" s="90"/>
      <c r="C62" s="90"/>
      <c r="D62" s="90"/>
      <c r="E62" s="90"/>
      <c r="F62" s="87"/>
      <c r="G62" s="94"/>
    </row>
    <row r="63">
      <c r="B63" s="90"/>
      <c r="C63" s="90"/>
      <c r="D63" s="90"/>
      <c r="E63" s="90"/>
      <c r="F63" s="87"/>
      <c r="G63" s="90"/>
    </row>
    <row r="64">
      <c r="B64" s="90"/>
      <c r="C64" s="90"/>
      <c r="D64" s="90"/>
      <c r="E64" s="90"/>
      <c r="F64" s="87"/>
      <c r="G64" s="90"/>
    </row>
    <row r="65">
      <c r="B65" s="90"/>
      <c r="C65" s="90"/>
      <c r="D65" s="90"/>
      <c r="E65" s="90"/>
      <c r="F65" s="87"/>
      <c r="G65" s="90"/>
    </row>
    <row r="66">
      <c r="B66" s="90"/>
      <c r="C66" s="90"/>
      <c r="D66" s="90"/>
      <c r="E66" s="90"/>
      <c r="F66" s="87"/>
      <c r="G66" s="90"/>
    </row>
    <row r="67">
      <c r="B67" s="90"/>
      <c r="C67" s="90"/>
      <c r="D67" s="90"/>
      <c r="E67" s="90"/>
      <c r="F67" s="87"/>
      <c r="G67" s="90"/>
    </row>
    <row r="68">
      <c r="E68" s="90"/>
      <c r="F68" s="87"/>
      <c r="G68" s="94"/>
    </row>
    <row r="69">
      <c r="E69" s="90"/>
      <c r="F69" s="87"/>
      <c r="G69" s="90"/>
    </row>
    <row r="70">
      <c r="E70" s="90"/>
      <c r="F70" s="87"/>
      <c r="G70" s="90"/>
    </row>
    <row r="71">
      <c r="E71" s="90"/>
      <c r="F71" s="87"/>
      <c r="G71" s="90"/>
    </row>
    <row r="72">
      <c r="E72" s="90"/>
      <c r="F72" s="87"/>
      <c r="G72" s="90"/>
    </row>
    <row r="73">
      <c r="E73" s="90"/>
      <c r="F73" s="87"/>
      <c r="G73" s="90"/>
    </row>
    <row r="74">
      <c r="E74" s="90"/>
      <c r="F74" s="87"/>
      <c r="G74" s="90"/>
    </row>
    <row r="75">
      <c r="E75" s="90"/>
      <c r="F75" s="87"/>
      <c r="G75" s="90"/>
    </row>
    <row r="76">
      <c r="E76" s="90"/>
      <c r="F76" s="87"/>
      <c r="G76" s="90"/>
    </row>
    <row r="77">
      <c r="E77" s="90"/>
      <c r="F77" s="87"/>
      <c r="G77" s="90"/>
    </row>
    <row r="78">
      <c r="E78" s="90"/>
      <c r="F78" s="87"/>
      <c r="G78" s="90"/>
    </row>
    <row r="79">
      <c r="E79" s="90"/>
      <c r="F79" s="87"/>
      <c r="G79" s="90"/>
    </row>
    <row r="80">
      <c r="E80" s="90"/>
      <c r="F80" s="87"/>
      <c r="G80" s="90"/>
    </row>
    <row r="81">
      <c r="E81" s="90"/>
      <c r="F81" s="87"/>
      <c r="G81" s="83"/>
    </row>
    <row r="82">
      <c r="E82" s="90"/>
      <c r="F82" s="87"/>
      <c r="G82" s="83"/>
    </row>
    <row r="83">
      <c r="E83" s="90"/>
      <c r="F83" s="87"/>
      <c r="G83" s="90"/>
    </row>
    <row r="84">
      <c r="E84" s="90"/>
      <c r="F84" s="87"/>
      <c r="G84" s="90"/>
    </row>
    <row r="85">
      <c r="E85" s="90"/>
      <c r="F85" s="87"/>
      <c r="G85" s="90"/>
    </row>
    <row r="86">
      <c r="E86" s="90"/>
      <c r="F86" s="87"/>
      <c r="G86" s="90"/>
    </row>
    <row r="87">
      <c r="E87" s="90"/>
      <c r="F87" s="87"/>
      <c r="G87" s="90"/>
    </row>
    <row r="88">
      <c r="E88" s="90"/>
      <c r="F88" s="87"/>
      <c r="G88" s="90"/>
    </row>
    <row r="89">
      <c r="E89" s="90"/>
      <c r="F89" s="90"/>
      <c r="G89" s="90"/>
    </row>
    <row r="90">
      <c r="E90" s="90"/>
      <c r="F90" s="90"/>
      <c r="G90" s="90"/>
    </row>
    <row r="91">
      <c r="E91" s="90"/>
      <c r="F91" s="90"/>
      <c r="G91" s="90"/>
    </row>
    <row r="92">
      <c r="E92" s="90"/>
      <c r="F92" s="90"/>
      <c r="G92" s="90"/>
    </row>
    <row r="93">
      <c r="E93" s="90"/>
      <c r="F93" s="90"/>
      <c r="G93" s="90"/>
    </row>
    <row r="94">
      <c r="E94" s="90"/>
      <c r="F94" s="90"/>
      <c r="G94" s="90"/>
    </row>
  </sheetData>
  <mergeCells count="3">
    <mergeCell ref="B4:C4"/>
    <mergeCell ref="B53:C53"/>
    <mergeCell ref="E53:F53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4.13"/>
    <col customWidth="1" min="2" max="2" width="7.63"/>
    <col customWidth="1" min="3" max="3" width="31.75"/>
    <col customWidth="1" min="4" max="5" width="12.0"/>
    <col customWidth="1" min="6" max="28" width="5.75"/>
    <col customWidth="1" min="29" max="30" width="6.0"/>
    <col customWidth="1" min="31" max="31" width="20.38"/>
    <col customWidth="1" hidden="1" min="32" max="32" width="11.13"/>
  </cols>
  <sheetData>
    <row r="1">
      <c r="A1" s="95"/>
      <c r="B1" s="95"/>
      <c r="C1" s="95"/>
      <c r="D1" s="95"/>
      <c r="E1" s="95"/>
      <c r="F1" s="95"/>
      <c r="G1" s="96"/>
      <c r="H1" s="96"/>
      <c r="I1" s="96"/>
      <c r="J1" s="96"/>
      <c r="K1" s="96"/>
      <c r="L1" s="96"/>
      <c r="M1" s="96"/>
      <c r="N1" s="96"/>
      <c r="O1" s="96"/>
      <c r="P1" s="96"/>
      <c r="Q1" s="95"/>
      <c r="R1" s="96"/>
      <c r="S1" s="96"/>
      <c r="T1" s="96"/>
      <c r="U1" s="96"/>
      <c r="V1" s="96"/>
      <c r="W1" s="96"/>
      <c r="X1" s="96"/>
      <c r="Y1" s="96"/>
      <c r="Z1" s="96"/>
      <c r="AA1" s="96"/>
      <c r="AB1" s="95"/>
      <c r="AC1" s="95"/>
      <c r="AD1" s="95"/>
      <c r="AE1" s="95"/>
      <c r="AF1" s="97"/>
    </row>
    <row r="2">
      <c r="A2" s="95"/>
      <c r="B2" s="95"/>
      <c r="C2" s="95"/>
      <c r="D2" s="95"/>
      <c r="E2" s="95"/>
      <c r="F2" s="98"/>
      <c r="G2" s="99" t="s">
        <v>144</v>
      </c>
      <c r="H2" s="100"/>
      <c r="I2" s="100"/>
      <c r="J2" s="100"/>
      <c r="K2" s="100"/>
      <c r="L2" s="100"/>
      <c r="M2" s="100"/>
      <c r="N2" s="100"/>
      <c r="O2" s="100"/>
      <c r="P2" s="100"/>
      <c r="Q2" s="101"/>
      <c r="R2" s="99" t="s">
        <v>145</v>
      </c>
      <c r="S2" s="100"/>
      <c r="T2" s="100"/>
      <c r="U2" s="100"/>
      <c r="V2" s="100"/>
      <c r="W2" s="100"/>
      <c r="X2" s="100"/>
      <c r="Y2" s="100"/>
      <c r="Z2" s="100"/>
      <c r="AA2" s="102"/>
      <c r="AB2" s="95"/>
      <c r="AC2" s="95"/>
      <c r="AD2" s="95"/>
      <c r="AE2" s="95"/>
      <c r="AF2" s="97"/>
    </row>
    <row r="3">
      <c r="A3" s="95"/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7"/>
    </row>
    <row r="4">
      <c r="A4" s="103" t="s">
        <v>146</v>
      </c>
      <c r="B4" s="104" t="s">
        <v>147</v>
      </c>
      <c r="C4" s="105" t="s">
        <v>148</v>
      </c>
      <c r="D4" s="106" t="s">
        <v>149</v>
      </c>
      <c r="E4" s="107"/>
      <c r="F4" s="108" t="s">
        <v>150</v>
      </c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7"/>
      <c r="W4" s="110" t="s">
        <v>151</v>
      </c>
      <c r="X4" s="111"/>
      <c r="Y4" s="111"/>
      <c r="Z4" s="111"/>
      <c r="AA4" s="111"/>
      <c r="AB4" s="112"/>
      <c r="AC4" s="113"/>
      <c r="AD4" s="113"/>
      <c r="AE4" s="114" t="s">
        <v>152</v>
      </c>
      <c r="AF4" s="115">
        <f>SUM(AF6:AF56)</f>
        <v>47</v>
      </c>
    </row>
    <row r="5">
      <c r="A5" s="116"/>
      <c r="B5" s="117"/>
      <c r="C5" s="118"/>
      <c r="D5" s="119" t="s">
        <v>153</v>
      </c>
      <c r="E5" s="120" t="s">
        <v>154</v>
      </c>
      <c r="F5" s="121" t="s">
        <v>155</v>
      </c>
      <c r="G5" s="122" t="s">
        <v>18</v>
      </c>
      <c r="H5" s="123" t="s">
        <v>156</v>
      </c>
      <c r="I5" s="122" t="s">
        <v>157</v>
      </c>
      <c r="J5" s="123" t="s">
        <v>158</v>
      </c>
      <c r="K5" s="123" t="s">
        <v>159</v>
      </c>
      <c r="L5" s="123" t="s">
        <v>160</v>
      </c>
      <c r="M5" s="123" t="s">
        <v>161</v>
      </c>
      <c r="N5" s="122" t="s">
        <v>162</v>
      </c>
      <c r="O5" s="122" t="s">
        <v>163</v>
      </c>
      <c r="P5" s="122" t="s">
        <v>164</v>
      </c>
      <c r="Q5" s="124" t="s">
        <v>165</v>
      </c>
      <c r="R5" s="122" t="s">
        <v>166</v>
      </c>
      <c r="S5" s="123" t="s">
        <v>167</v>
      </c>
      <c r="T5" s="122" t="s">
        <v>168</v>
      </c>
      <c r="U5" s="122" t="s">
        <v>169</v>
      </c>
      <c r="V5" s="122" t="s">
        <v>170</v>
      </c>
      <c r="W5" s="123" t="s">
        <v>171</v>
      </c>
      <c r="X5" s="123" t="s">
        <v>172</v>
      </c>
      <c r="Y5" s="123" t="s">
        <v>173</v>
      </c>
      <c r="Z5" s="125" t="s">
        <v>174</v>
      </c>
      <c r="AA5" s="125" t="s">
        <v>175</v>
      </c>
      <c r="AB5" s="125" t="s">
        <v>176</v>
      </c>
      <c r="AC5" s="126" t="s">
        <v>177</v>
      </c>
      <c r="AD5" s="126" t="s">
        <v>178</v>
      </c>
      <c r="AE5" s="118"/>
      <c r="AF5" s="115" t="s">
        <v>179</v>
      </c>
    </row>
    <row r="6">
      <c r="A6" s="127">
        <v>1.0</v>
      </c>
      <c r="B6" s="128" t="s">
        <v>125</v>
      </c>
      <c r="C6" s="129" t="s">
        <v>180</v>
      </c>
      <c r="D6" s="130" t="s">
        <v>181</v>
      </c>
      <c r="E6" s="131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3">
        <v>46156.696666585645</v>
      </c>
      <c r="AF6" s="134">
        <v>1.0</v>
      </c>
    </row>
    <row r="7">
      <c r="A7" s="135">
        <v>2.0</v>
      </c>
      <c r="B7" s="128" t="s">
        <v>123</v>
      </c>
      <c r="C7" s="136" t="s">
        <v>182</v>
      </c>
      <c r="D7" s="137" t="s">
        <v>183</v>
      </c>
      <c r="E7" s="138"/>
      <c r="F7" s="139" t="s">
        <v>184</v>
      </c>
      <c r="G7" s="140"/>
      <c r="H7" s="141" t="s">
        <v>184</v>
      </c>
      <c r="I7" s="140"/>
      <c r="J7" s="141" t="s">
        <v>185</v>
      </c>
      <c r="K7" s="132"/>
      <c r="L7" s="132"/>
      <c r="M7" s="132" t="s">
        <v>184</v>
      </c>
      <c r="N7" s="140"/>
      <c r="O7" s="140"/>
      <c r="P7" s="140"/>
      <c r="Q7" s="142"/>
      <c r="R7" s="140"/>
      <c r="S7" s="132" t="s">
        <v>184</v>
      </c>
      <c r="T7" s="140"/>
      <c r="U7" s="140"/>
      <c r="V7" s="140"/>
      <c r="W7" s="142"/>
      <c r="X7" s="132"/>
      <c r="Y7" s="140"/>
      <c r="Z7" s="142"/>
      <c r="AA7" s="140"/>
      <c r="AB7" s="140"/>
      <c r="AC7" s="140"/>
      <c r="AD7" s="140"/>
      <c r="AE7" s="143"/>
      <c r="AF7" s="134">
        <v>1.0</v>
      </c>
    </row>
    <row r="8">
      <c r="A8" s="127">
        <v>3.0</v>
      </c>
      <c r="B8" s="128" t="s">
        <v>131</v>
      </c>
      <c r="C8" s="136" t="s">
        <v>186</v>
      </c>
      <c r="D8" s="137" t="s">
        <v>187</v>
      </c>
      <c r="E8" s="138"/>
      <c r="F8" s="139"/>
      <c r="G8" s="140"/>
      <c r="H8" s="142" t="s">
        <v>188</v>
      </c>
      <c r="I8" s="142"/>
      <c r="J8" s="141" t="s">
        <v>185</v>
      </c>
      <c r="K8" s="132"/>
      <c r="L8" s="132"/>
      <c r="M8" s="132"/>
      <c r="N8" s="142"/>
      <c r="O8" s="140"/>
      <c r="P8" s="140"/>
      <c r="Q8" s="141" t="s">
        <v>189</v>
      </c>
      <c r="R8" s="140"/>
      <c r="S8" s="141" t="s">
        <v>184</v>
      </c>
      <c r="T8" s="140"/>
      <c r="U8" s="140"/>
      <c r="V8" s="140"/>
      <c r="W8" s="132"/>
      <c r="X8" s="132"/>
      <c r="Y8" s="142"/>
      <c r="Z8" s="140"/>
      <c r="AA8" s="140"/>
      <c r="AB8" s="140"/>
      <c r="AC8" s="140"/>
      <c r="AD8" s="140"/>
      <c r="AE8" s="143"/>
      <c r="AF8" s="134">
        <v>1.0</v>
      </c>
    </row>
    <row r="9">
      <c r="A9" s="135">
        <v>4.0</v>
      </c>
      <c r="B9" s="128"/>
      <c r="C9" s="136" t="s">
        <v>190</v>
      </c>
      <c r="D9" s="144" t="s">
        <v>191</v>
      </c>
      <c r="E9" s="131"/>
      <c r="F9" s="139" t="s">
        <v>184</v>
      </c>
      <c r="G9" s="140"/>
      <c r="H9" s="132" t="s">
        <v>184</v>
      </c>
      <c r="I9" s="140"/>
      <c r="J9" s="141" t="s">
        <v>185</v>
      </c>
      <c r="K9" s="132"/>
      <c r="L9" s="132"/>
      <c r="M9" s="142" t="s">
        <v>192</v>
      </c>
      <c r="N9" s="140"/>
      <c r="O9" s="140"/>
      <c r="P9" s="140"/>
      <c r="Q9" s="142"/>
      <c r="R9" s="140"/>
      <c r="S9" s="140" t="s">
        <v>184</v>
      </c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3"/>
      <c r="AF9" s="134">
        <v>1.0</v>
      </c>
    </row>
    <row r="10" ht="18.75" customHeight="1">
      <c r="A10" s="127">
        <v>5.0</v>
      </c>
      <c r="B10" s="128" t="s">
        <v>125</v>
      </c>
      <c r="C10" s="129" t="s">
        <v>127</v>
      </c>
      <c r="D10" s="145" t="s">
        <v>181</v>
      </c>
      <c r="E10" s="131"/>
      <c r="F10" s="139"/>
      <c r="G10" s="139"/>
      <c r="H10" s="139"/>
      <c r="I10" s="139"/>
      <c r="J10" s="132"/>
      <c r="K10" s="132"/>
      <c r="L10" s="132"/>
      <c r="M10" s="132"/>
      <c r="N10" s="132"/>
      <c r="O10" s="132"/>
      <c r="P10" s="132"/>
      <c r="Q10" s="139"/>
      <c r="R10" s="132"/>
      <c r="S10" s="132"/>
      <c r="T10" s="132"/>
      <c r="U10" s="132"/>
      <c r="V10" s="132"/>
      <c r="W10" s="132"/>
      <c r="X10" s="132"/>
      <c r="Y10" s="132"/>
      <c r="Z10" s="132"/>
      <c r="AA10" s="132"/>
      <c r="AB10" s="132"/>
      <c r="AC10" s="139"/>
      <c r="AD10" s="139"/>
      <c r="AE10" s="133">
        <v>46157.76292487269</v>
      </c>
      <c r="AF10" s="134">
        <v>1.0</v>
      </c>
    </row>
    <row r="11">
      <c r="A11" s="135">
        <v>6.0</v>
      </c>
      <c r="B11" s="128" t="s">
        <v>131</v>
      </c>
      <c r="C11" s="136" t="s">
        <v>193</v>
      </c>
      <c r="D11" s="137" t="s">
        <v>194</v>
      </c>
      <c r="E11" s="138"/>
      <c r="F11" s="139"/>
      <c r="G11" s="140"/>
      <c r="H11" s="132" t="s">
        <v>184</v>
      </c>
      <c r="I11" s="141"/>
      <c r="J11" s="141" t="s">
        <v>185</v>
      </c>
      <c r="K11" s="132"/>
      <c r="L11" s="132"/>
      <c r="M11" s="142">
        <v>50.0</v>
      </c>
      <c r="N11" s="140"/>
      <c r="O11" s="140"/>
      <c r="P11" s="140"/>
      <c r="Q11" s="132"/>
      <c r="R11" s="140"/>
      <c r="S11" s="132"/>
      <c r="T11" s="140"/>
      <c r="U11" s="140"/>
      <c r="V11" s="140"/>
      <c r="W11" s="132"/>
      <c r="X11" s="132"/>
      <c r="Y11" s="141"/>
      <c r="Z11" s="140"/>
      <c r="AA11" s="140"/>
      <c r="AB11" s="140"/>
      <c r="AC11" s="140"/>
      <c r="AD11" s="140"/>
      <c r="AE11" s="143"/>
      <c r="AF11" s="134">
        <v>1.0</v>
      </c>
    </row>
    <row r="12">
      <c r="A12" s="146">
        <v>7.0</v>
      </c>
      <c r="B12" s="147" t="s">
        <v>131</v>
      </c>
      <c r="C12" s="148" t="s">
        <v>195</v>
      </c>
      <c r="D12" s="149" t="s">
        <v>196</v>
      </c>
      <c r="E12" s="138"/>
      <c r="F12" s="139"/>
      <c r="G12" s="139"/>
      <c r="H12" s="132"/>
      <c r="I12" s="132"/>
      <c r="J12" s="132"/>
      <c r="K12" s="132"/>
      <c r="L12" s="132"/>
      <c r="M12" s="132"/>
      <c r="N12" s="132"/>
      <c r="O12" s="132"/>
      <c r="P12" s="132"/>
      <c r="Q12" s="132"/>
      <c r="R12" s="132"/>
      <c r="S12" s="132"/>
      <c r="T12" s="139"/>
      <c r="U12" s="132"/>
      <c r="V12" s="139"/>
      <c r="W12" s="132"/>
      <c r="X12" s="132"/>
      <c r="Y12" s="139"/>
      <c r="Z12" s="132"/>
      <c r="AA12" s="132"/>
      <c r="AB12" s="132"/>
      <c r="AC12" s="139"/>
      <c r="AD12" s="132"/>
      <c r="AE12" s="143"/>
      <c r="AF12" s="134">
        <v>1.0</v>
      </c>
    </row>
    <row r="13">
      <c r="A13" s="150">
        <v>8.0</v>
      </c>
      <c r="B13" s="147" t="s">
        <v>123</v>
      </c>
      <c r="C13" s="148" t="s">
        <v>124</v>
      </c>
      <c r="D13" s="151" t="s">
        <v>197</v>
      </c>
      <c r="E13" s="138"/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32"/>
      <c r="Q13" s="132"/>
      <c r="R13" s="132"/>
      <c r="S13" s="132"/>
      <c r="T13" s="132"/>
      <c r="U13" s="132"/>
      <c r="V13" s="132"/>
      <c r="W13" s="132"/>
      <c r="X13" s="132"/>
      <c r="Y13" s="132"/>
      <c r="Z13" s="132"/>
      <c r="AA13" s="132"/>
      <c r="AB13" s="132"/>
      <c r="AC13" s="132"/>
      <c r="AD13" s="132"/>
      <c r="AE13" s="143"/>
      <c r="AF13" s="134">
        <v>1.0</v>
      </c>
    </row>
    <row r="14">
      <c r="A14" s="127">
        <v>9.0</v>
      </c>
      <c r="B14" s="128" t="s">
        <v>123</v>
      </c>
      <c r="C14" s="148" t="s">
        <v>198</v>
      </c>
      <c r="D14" s="137" t="s">
        <v>199</v>
      </c>
      <c r="E14" s="138"/>
      <c r="F14" s="139"/>
      <c r="G14" s="132"/>
      <c r="H14" s="132"/>
      <c r="I14" s="132"/>
      <c r="J14" s="141" t="s">
        <v>200</v>
      </c>
      <c r="K14" s="132"/>
      <c r="L14" s="132"/>
      <c r="M14" s="132"/>
      <c r="N14" s="132"/>
      <c r="O14" s="132"/>
      <c r="P14" s="132"/>
      <c r="Q14" s="132"/>
      <c r="R14" s="132"/>
      <c r="S14" s="132"/>
      <c r="T14" s="132"/>
      <c r="U14" s="132"/>
      <c r="V14" s="132"/>
      <c r="W14" s="132"/>
      <c r="X14" s="132"/>
      <c r="Y14" s="132"/>
      <c r="Z14" s="132"/>
      <c r="AA14" s="132"/>
      <c r="AB14" s="132"/>
      <c r="AC14" s="140"/>
      <c r="AD14" s="132"/>
      <c r="AE14" s="143"/>
      <c r="AF14" s="134">
        <v>1.0</v>
      </c>
    </row>
    <row r="15">
      <c r="A15" s="135">
        <v>10.0</v>
      </c>
      <c r="B15" s="147" t="s">
        <v>131</v>
      </c>
      <c r="C15" s="148" t="s">
        <v>136</v>
      </c>
      <c r="D15" s="149" t="s">
        <v>197</v>
      </c>
      <c r="E15" s="138"/>
      <c r="F15" s="139"/>
      <c r="G15" s="139"/>
      <c r="H15" s="139"/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32"/>
      <c r="T15" s="142"/>
      <c r="U15" s="132"/>
      <c r="V15" s="139"/>
      <c r="W15" s="132"/>
      <c r="X15" s="132"/>
      <c r="Y15" s="132"/>
      <c r="Z15" s="139"/>
      <c r="AA15" s="132"/>
      <c r="AB15" s="132"/>
      <c r="AC15" s="140"/>
      <c r="AD15" s="140"/>
      <c r="AE15" s="143"/>
      <c r="AF15" s="134">
        <v>1.0</v>
      </c>
    </row>
    <row r="16">
      <c r="A16" s="127">
        <v>11.0</v>
      </c>
      <c r="B16" s="128" t="s">
        <v>125</v>
      </c>
      <c r="C16" s="136" t="s">
        <v>126</v>
      </c>
      <c r="D16" s="130" t="s">
        <v>201</v>
      </c>
      <c r="E16" s="131"/>
      <c r="F16" s="139"/>
      <c r="G16" s="132"/>
      <c r="H16" s="132" t="s">
        <v>184</v>
      </c>
      <c r="I16" s="132"/>
      <c r="J16" s="132"/>
      <c r="K16" s="152"/>
      <c r="L16" s="132"/>
      <c r="M16" s="141">
        <v>81.0</v>
      </c>
      <c r="N16" s="132"/>
      <c r="O16" s="132"/>
      <c r="P16" s="153" t="s">
        <v>202</v>
      </c>
      <c r="Q16" s="132"/>
      <c r="R16" s="132"/>
      <c r="S16" s="132"/>
      <c r="T16" s="132"/>
      <c r="U16" s="132"/>
      <c r="V16" s="132"/>
      <c r="W16" s="132"/>
      <c r="X16" s="132"/>
      <c r="Y16" s="132"/>
      <c r="Z16" s="142"/>
      <c r="AA16" s="142"/>
      <c r="AB16" s="141"/>
      <c r="AC16" s="140"/>
      <c r="AD16" s="140"/>
      <c r="AE16" s="143"/>
      <c r="AF16" s="134">
        <v>1.0</v>
      </c>
    </row>
    <row r="17">
      <c r="A17" s="135">
        <v>12.0</v>
      </c>
      <c r="B17" s="147" t="s">
        <v>131</v>
      </c>
      <c r="C17" s="148" t="s">
        <v>203</v>
      </c>
      <c r="D17" s="149" t="s">
        <v>204</v>
      </c>
      <c r="E17" s="138"/>
      <c r="F17" s="139"/>
      <c r="G17" s="132"/>
      <c r="H17" s="132"/>
      <c r="I17" s="132"/>
      <c r="J17" s="132"/>
      <c r="K17" s="132"/>
      <c r="L17" s="132"/>
      <c r="M17" s="132"/>
      <c r="N17" s="132"/>
      <c r="O17" s="132"/>
      <c r="P17" s="132"/>
      <c r="Q17" s="132"/>
      <c r="R17" s="132"/>
      <c r="S17" s="132"/>
      <c r="T17" s="132"/>
      <c r="U17" s="132"/>
      <c r="V17" s="132"/>
      <c r="W17" s="132"/>
      <c r="X17" s="132"/>
      <c r="Y17" s="132"/>
      <c r="Z17" s="132"/>
      <c r="AA17" s="132"/>
      <c r="AB17" s="132"/>
      <c r="AC17" s="140"/>
      <c r="AD17" s="132"/>
      <c r="AE17" s="143"/>
      <c r="AF17" s="134">
        <v>1.0</v>
      </c>
    </row>
    <row r="18">
      <c r="A18" s="127">
        <v>13.0</v>
      </c>
      <c r="B18" s="128" t="s">
        <v>123</v>
      </c>
      <c r="C18" s="136" t="s">
        <v>205</v>
      </c>
      <c r="D18" s="137" t="s">
        <v>206</v>
      </c>
      <c r="E18" s="138"/>
      <c r="F18" s="139"/>
      <c r="G18" s="140"/>
      <c r="H18" s="141"/>
      <c r="I18" s="142"/>
      <c r="J18" s="141" t="s">
        <v>185</v>
      </c>
      <c r="K18" s="132"/>
      <c r="L18" s="132"/>
      <c r="M18" s="132"/>
      <c r="N18" s="142" t="s">
        <v>207</v>
      </c>
      <c r="O18" s="132"/>
      <c r="P18" s="132"/>
      <c r="Q18" s="132"/>
      <c r="R18" s="142" t="s">
        <v>185</v>
      </c>
      <c r="S18" s="142"/>
      <c r="T18" s="140"/>
      <c r="U18" s="140"/>
      <c r="V18" s="140"/>
      <c r="W18" s="132"/>
      <c r="X18" s="132"/>
      <c r="Y18" s="132"/>
      <c r="Z18" s="132"/>
      <c r="AA18" s="132"/>
      <c r="AB18" s="140"/>
      <c r="AC18" s="140"/>
      <c r="AD18" s="140"/>
      <c r="AE18" s="143"/>
      <c r="AF18" s="134">
        <v>1.0</v>
      </c>
    </row>
    <row r="19">
      <c r="A19" s="135">
        <v>14.0</v>
      </c>
      <c r="B19" s="128" t="s">
        <v>131</v>
      </c>
      <c r="C19" s="148" t="s">
        <v>138</v>
      </c>
      <c r="D19" s="137" t="s">
        <v>208</v>
      </c>
      <c r="E19" s="138"/>
      <c r="F19" s="139"/>
      <c r="G19" s="132"/>
      <c r="H19" s="154" t="s">
        <v>209</v>
      </c>
      <c r="I19" s="132"/>
      <c r="J19" s="132"/>
      <c r="K19" s="132"/>
      <c r="L19" s="132"/>
      <c r="M19" s="132"/>
      <c r="N19" s="132"/>
      <c r="O19" s="132"/>
      <c r="P19" s="132"/>
      <c r="Q19" s="132"/>
      <c r="R19" s="132"/>
      <c r="S19" s="132"/>
      <c r="T19" s="142" t="s">
        <v>209</v>
      </c>
      <c r="U19" s="132"/>
      <c r="V19" s="142"/>
      <c r="W19" s="132"/>
      <c r="X19" s="132"/>
      <c r="Y19" s="132"/>
      <c r="Z19" s="132"/>
      <c r="AA19" s="142"/>
      <c r="AB19" s="142" t="s">
        <v>209</v>
      </c>
      <c r="AC19" s="132"/>
      <c r="AD19" s="132"/>
      <c r="AE19" s="143"/>
      <c r="AF19" s="134">
        <v>1.0</v>
      </c>
    </row>
    <row r="20">
      <c r="A20" s="127">
        <v>15.0</v>
      </c>
      <c r="B20" s="147" t="s">
        <v>123</v>
      </c>
      <c r="C20" s="148" t="s">
        <v>210</v>
      </c>
      <c r="D20" s="151" t="s">
        <v>211</v>
      </c>
      <c r="E20" s="155" t="s">
        <v>183</v>
      </c>
      <c r="F20" s="139"/>
      <c r="G20" s="132"/>
      <c r="H20" s="132"/>
      <c r="I20" s="132"/>
      <c r="J20" s="132"/>
      <c r="K20" s="132"/>
      <c r="L20" s="132"/>
      <c r="M20" s="132"/>
      <c r="N20" s="132"/>
      <c r="O20" s="132"/>
      <c r="P20" s="140" t="s">
        <v>184</v>
      </c>
      <c r="Q20" s="132"/>
      <c r="R20" s="132"/>
      <c r="S20" s="132"/>
      <c r="T20" s="132"/>
      <c r="U20" s="132"/>
      <c r="V20" s="132"/>
      <c r="W20" s="132"/>
      <c r="X20" s="132"/>
      <c r="Y20" s="141"/>
      <c r="Z20" s="132"/>
      <c r="AA20" s="132"/>
      <c r="AB20" s="132"/>
      <c r="AC20" s="132"/>
      <c r="AD20" s="132"/>
      <c r="AE20" s="143"/>
      <c r="AF20" s="134">
        <v>1.0</v>
      </c>
    </row>
    <row r="21">
      <c r="A21" s="135">
        <v>16.0</v>
      </c>
      <c r="B21" s="147" t="s">
        <v>123</v>
      </c>
      <c r="C21" s="148" t="s">
        <v>212</v>
      </c>
      <c r="D21" s="149" t="s">
        <v>213</v>
      </c>
      <c r="E21" s="138"/>
      <c r="F21" s="139"/>
      <c r="G21" s="139"/>
      <c r="H21" s="139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41"/>
      <c r="U21" s="132"/>
      <c r="V21" s="141"/>
      <c r="W21" s="132"/>
      <c r="X21" s="132"/>
      <c r="Y21" s="139"/>
      <c r="Z21" s="132"/>
      <c r="AA21" s="139"/>
      <c r="AB21" s="132"/>
      <c r="AC21" s="132"/>
      <c r="AD21" s="132"/>
      <c r="AE21" s="143"/>
      <c r="AF21" s="134">
        <v>1.0</v>
      </c>
    </row>
    <row r="22">
      <c r="A22" s="127">
        <v>17.0</v>
      </c>
      <c r="B22" s="128" t="s">
        <v>125</v>
      </c>
      <c r="C22" s="136" t="s">
        <v>140</v>
      </c>
      <c r="D22" s="130" t="s">
        <v>197</v>
      </c>
      <c r="E22" s="131"/>
      <c r="F22" s="139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42"/>
      <c r="Z22" s="132"/>
      <c r="AA22" s="142"/>
      <c r="AB22" s="132"/>
      <c r="AC22" s="140"/>
      <c r="AD22" s="140"/>
      <c r="AE22" s="143"/>
      <c r="AF22" s="134">
        <v>1.0</v>
      </c>
    </row>
    <row r="23">
      <c r="A23" s="150">
        <v>18.0</v>
      </c>
      <c r="B23" s="147" t="s">
        <v>123</v>
      </c>
      <c r="C23" s="148" t="s">
        <v>214</v>
      </c>
      <c r="D23" s="151" t="s">
        <v>197</v>
      </c>
      <c r="E23" s="138"/>
      <c r="F23" s="139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2"/>
      <c r="W23" s="132"/>
      <c r="X23" s="132"/>
      <c r="Y23" s="132"/>
      <c r="Z23" s="132"/>
      <c r="AA23" s="132"/>
      <c r="AB23" s="132"/>
      <c r="AC23" s="132"/>
      <c r="AD23" s="142"/>
      <c r="AE23" s="143"/>
      <c r="AF23" s="134">
        <v>1.0</v>
      </c>
    </row>
    <row r="24">
      <c r="A24" s="127">
        <v>19.0</v>
      </c>
      <c r="B24" s="128" t="s">
        <v>123</v>
      </c>
      <c r="C24" s="136" t="s">
        <v>215</v>
      </c>
      <c r="D24" s="137" t="s">
        <v>199</v>
      </c>
      <c r="E24" s="138"/>
      <c r="F24" s="156" t="s">
        <v>184</v>
      </c>
      <c r="G24" s="140"/>
      <c r="H24" s="140" t="s">
        <v>184</v>
      </c>
      <c r="I24" s="140"/>
      <c r="J24" s="142" t="s">
        <v>185</v>
      </c>
      <c r="K24" s="132"/>
      <c r="L24" s="132"/>
      <c r="M24" s="140" t="s">
        <v>184</v>
      </c>
      <c r="N24" s="140"/>
      <c r="O24" s="140"/>
      <c r="P24" s="140"/>
      <c r="Q24" s="140"/>
      <c r="R24" s="140"/>
      <c r="S24" s="140" t="s">
        <v>184</v>
      </c>
      <c r="T24" s="140"/>
      <c r="U24" s="140"/>
      <c r="V24" s="140"/>
      <c r="W24" s="140"/>
      <c r="X24" s="140"/>
      <c r="Y24" s="140"/>
      <c r="Z24" s="140"/>
      <c r="AA24" s="140"/>
      <c r="AB24" s="140"/>
      <c r="AC24" s="140"/>
      <c r="AD24" s="140"/>
      <c r="AE24" s="143"/>
      <c r="AF24" s="134">
        <v>1.0</v>
      </c>
    </row>
    <row r="25">
      <c r="A25" s="135">
        <v>20.0</v>
      </c>
      <c r="B25" s="128" t="s">
        <v>125</v>
      </c>
      <c r="C25" s="136" t="s">
        <v>216</v>
      </c>
      <c r="D25" s="130" t="s">
        <v>217</v>
      </c>
      <c r="E25" s="131"/>
      <c r="F25" s="139" t="s">
        <v>184</v>
      </c>
      <c r="G25" s="140"/>
      <c r="H25" s="132" t="s">
        <v>184</v>
      </c>
      <c r="I25" s="140"/>
      <c r="J25" s="141" t="s">
        <v>185</v>
      </c>
      <c r="K25" s="132"/>
      <c r="L25" s="132"/>
      <c r="M25" s="141" t="s">
        <v>218</v>
      </c>
      <c r="N25" s="140"/>
      <c r="O25" s="140"/>
      <c r="P25" s="140"/>
      <c r="Q25" s="141">
        <v>48.0</v>
      </c>
      <c r="R25" s="140"/>
      <c r="S25" s="132" t="s">
        <v>184</v>
      </c>
      <c r="T25" s="140"/>
      <c r="U25" s="140"/>
      <c r="V25" s="140"/>
      <c r="W25" s="141"/>
      <c r="X25" s="141"/>
      <c r="Y25" s="141"/>
      <c r="Z25" s="140"/>
      <c r="AA25" s="140"/>
      <c r="AB25" s="140"/>
      <c r="AC25" s="140"/>
      <c r="AD25" s="140"/>
      <c r="AE25" s="143"/>
      <c r="AF25" s="134">
        <v>1.0</v>
      </c>
    </row>
    <row r="26">
      <c r="A26" s="127">
        <v>21.0</v>
      </c>
      <c r="B26" s="128" t="s">
        <v>125</v>
      </c>
      <c r="C26" s="136" t="s">
        <v>219</v>
      </c>
      <c r="D26" s="130" t="s">
        <v>201</v>
      </c>
      <c r="E26" s="131"/>
      <c r="F26" s="139"/>
      <c r="G26" s="140"/>
      <c r="H26" s="142"/>
      <c r="I26" s="132"/>
      <c r="J26" s="141">
        <v>89.0</v>
      </c>
      <c r="K26" s="132" t="s">
        <v>220</v>
      </c>
      <c r="L26" s="132"/>
      <c r="M26" s="132"/>
      <c r="N26" s="132"/>
      <c r="O26" s="132"/>
      <c r="P26" s="153" t="s">
        <v>221</v>
      </c>
      <c r="Q26" s="142"/>
      <c r="R26" s="140"/>
      <c r="S26" s="132"/>
      <c r="T26" s="140"/>
      <c r="U26" s="140"/>
      <c r="V26" s="140"/>
      <c r="W26" s="132"/>
      <c r="X26" s="132"/>
      <c r="Y26" s="132"/>
      <c r="Z26" s="142"/>
      <c r="AA26" s="142"/>
      <c r="AB26" s="142"/>
      <c r="AC26" s="140"/>
      <c r="AD26" s="140"/>
      <c r="AE26" s="143"/>
      <c r="AF26" s="134">
        <v>1.0</v>
      </c>
    </row>
    <row r="27">
      <c r="A27" s="135">
        <v>22.0</v>
      </c>
      <c r="B27" s="147" t="s">
        <v>123</v>
      </c>
      <c r="C27" s="148" t="s">
        <v>222</v>
      </c>
      <c r="D27" s="151" t="s">
        <v>223</v>
      </c>
      <c r="E27" s="138"/>
      <c r="F27" s="139"/>
      <c r="G27" s="132"/>
      <c r="H27" s="132"/>
      <c r="I27" s="132"/>
      <c r="J27" s="132"/>
      <c r="K27" s="132"/>
      <c r="L27" s="132"/>
      <c r="M27" s="132"/>
      <c r="N27" s="132"/>
      <c r="O27" s="132"/>
      <c r="P27" s="132"/>
      <c r="Q27" s="132"/>
      <c r="R27" s="132"/>
      <c r="S27" s="132"/>
      <c r="T27" s="132"/>
      <c r="U27" s="142">
        <v>159.0</v>
      </c>
      <c r="V27" s="132"/>
      <c r="W27" s="132"/>
      <c r="X27" s="132"/>
      <c r="Y27" s="132"/>
      <c r="Z27" s="132"/>
      <c r="AA27" s="132"/>
      <c r="AB27" s="132"/>
      <c r="AC27" s="132"/>
      <c r="AD27" s="132"/>
      <c r="AE27" s="143"/>
      <c r="AF27" s="134">
        <v>1.0</v>
      </c>
    </row>
    <row r="28">
      <c r="A28" s="127">
        <v>23.0</v>
      </c>
      <c r="B28" s="128" t="s">
        <v>131</v>
      </c>
      <c r="C28" s="136" t="s">
        <v>224</v>
      </c>
      <c r="D28" s="157" t="s">
        <v>225</v>
      </c>
      <c r="E28" s="138"/>
      <c r="F28" s="139"/>
      <c r="G28" s="140"/>
      <c r="H28" s="132" t="s">
        <v>184</v>
      </c>
      <c r="I28" s="140"/>
      <c r="J28" s="141" t="s">
        <v>185</v>
      </c>
      <c r="K28" s="142" t="s">
        <v>226</v>
      </c>
      <c r="L28" s="132"/>
      <c r="M28" s="142"/>
      <c r="N28" s="142"/>
      <c r="O28" s="140"/>
      <c r="P28" s="140"/>
      <c r="Q28" s="142"/>
      <c r="R28" s="140"/>
      <c r="S28" s="132" t="s">
        <v>184</v>
      </c>
      <c r="T28" s="140"/>
      <c r="U28" s="140"/>
      <c r="V28" s="140"/>
      <c r="W28" s="132"/>
      <c r="X28" s="141"/>
      <c r="Y28" s="140"/>
      <c r="Z28" s="140"/>
      <c r="AA28" s="140"/>
      <c r="AB28" s="140"/>
      <c r="AC28" s="140"/>
      <c r="AD28" s="140"/>
      <c r="AE28" s="143"/>
      <c r="AF28" s="158">
        <v>0.0</v>
      </c>
    </row>
    <row r="29">
      <c r="A29" s="150">
        <v>24.0</v>
      </c>
      <c r="B29" s="147" t="s">
        <v>131</v>
      </c>
      <c r="C29" s="148" t="s">
        <v>227</v>
      </c>
      <c r="D29" s="149" t="s">
        <v>194</v>
      </c>
      <c r="E29" s="138"/>
      <c r="F29" s="139"/>
      <c r="G29" s="132"/>
      <c r="H29" s="132"/>
      <c r="I29" s="132"/>
      <c r="J29" s="132"/>
      <c r="K29" s="132"/>
      <c r="L29" s="132"/>
      <c r="M29" s="132"/>
      <c r="N29" s="132"/>
      <c r="O29" s="132"/>
      <c r="P29" s="132"/>
      <c r="Q29" s="132"/>
      <c r="R29" s="132"/>
      <c r="S29" s="132"/>
      <c r="T29" s="132"/>
      <c r="U29" s="132"/>
      <c r="V29" s="132"/>
      <c r="W29" s="132"/>
      <c r="X29" s="132"/>
      <c r="Y29" s="132"/>
      <c r="Z29" s="132"/>
      <c r="AA29" s="132"/>
      <c r="AB29" s="132"/>
      <c r="AC29" s="132"/>
      <c r="AD29" s="132"/>
      <c r="AE29" s="143"/>
      <c r="AF29" s="134">
        <v>1.0</v>
      </c>
    </row>
    <row r="30">
      <c r="A30" s="127">
        <v>25.0</v>
      </c>
      <c r="B30" s="128" t="s">
        <v>123</v>
      </c>
      <c r="C30" s="136" t="s">
        <v>228</v>
      </c>
      <c r="D30" s="157" t="s">
        <v>229</v>
      </c>
      <c r="E30" s="138"/>
      <c r="F30" s="139" t="s">
        <v>184</v>
      </c>
      <c r="G30" s="140"/>
      <c r="H30" s="141" t="s">
        <v>184</v>
      </c>
      <c r="I30" s="140"/>
      <c r="J30" s="141" t="s">
        <v>185</v>
      </c>
      <c r="K30" s="132"/>
      <c r="L30" s="132"/>
      <c r="M30" s="132" t="s">
        <v>184</v>
      </c>
      <c r="N30" s="140"/>
      <c r="O30" s="140"/>
      <c r="P30" s="140"/>
      <c r="Q30" s="132"/>
      <c r="R30" s="140"/>
      <c r="S30" s="141" t="s">
        <v>184</v>
      </c>
      <c r="T30" s="140"/>
      <c r="U30" s="140"/>
      <c r="V30" s="140"/>
      <c r="W30" s="132"/>
      <c r="X30" s="141"/>
      <c r="Y30" s="140"/>
      <c r="Z30" s="140"/>
      <c r="AA30" s="140"/>
      <c r="AB30" s="140"/>
      <c r="AC30" s="140"/>
      <c r="AD30" s="140"/>
      <c r="AE30" s="143"/>
      <c r="AF30" s="134">
        <v>1.0</v>
      </c>
    </row>
    <row r="31">
      <c r="A31" s="135">
        <v>26.0</v>
      </c>
      <c r="B31" s="128" t="s">
        <v>125</v>
      </c>
      <c r="C31" s="148" t="s">
        <v>230</v>
      </c>
      <c r="D31" s="130" t="s">
        <v>211</v>
      </c>
      <c r="E31" s="159" t="s">
        <v>183</v>
      </c>
      <c r="F31" s="139"/>
      <c r="G31" s="132"/>
      <c r="H31" s="160"/>
      <c r="I31" s="132"/>
      <c r="J31" s="132"/>
      <c r="K31" s="132"/>
      <c r="L31" s="132"/>
      <c r="M31" s="160"/>
      <c r="N31" s="160"/>
      <c r="O31" s="160"/>
      <c r="P31" s="132"/>
      <c r="Q31" s="132"/>
      <c r="R31" s="132"/>
      <c r="S31" s="132"/>
      <c r="T31" s="160"/>
      <c r="U31" s="132"/>
      <c r="V31" s="132"/>
      <c r="W31" s="132"/>
      <c r="X31" s="132"/>
      <c r="Y31" s="160"/>
      <c r="Z31" s="160"/>
      <c r="AA31" s="132"/>
      <c r="AB31" s="132"/>
      <c r="AC31" s="140"/>
      <c r="AD31" s="140"/>
      <c r="AE31" s="143"/>
      <c r="AF31" s="134">
        <v>1.0</v>
      </c>
    </row>
    <row r="32">
      <c r="A32" s="127">
        <v>27.0</v>
      </c>
      <c r="B32" s="128" t="s">
        <v>131</v>
      </c>
      <c r="C32" s="136" t="s">
        <v>231</v>
      </c>
      <c r="D32" s="137" t="s">
        <v>204</v>
      </c>
      <c r="E32" s="138"/>
      <c r="F32" s="139"/>
      <c r="G32" s="141"/>
      <c r="H32" s="132"/>
      <c r="I32" s="141"/>
      <c r="J32" s="141" t="s">
        <v>185</v>
      </c>
      <c r="K32" s="132"/>
      <c r="L32" s="132"/>
      <c r="M32" s="132"/>
      <c r="N32" s="132"/>
      <c r="O32" s="132"/>
      <c r="P32" s="140"/>
      <c r="Q32" s="132"/>
      <c r="R32" s="142" t="s">
        <v>185</v>
      </c>
      <c r="S32" s="132"/>
      <c r="T32" s="142"/>
      <c r="U32" s="140"/>
      <c r="V32" s="142"/>
      <c r="W32" s="132"/>
      <c r="X32" s="132"/>
      <c r="Y32" s="132"/>
      <c r="Z32" s="132"/>
      <c r="AA32" s="132"/>
      <c r="AB32" s="140"/>
      <c r="AC32" s="140"/>
      <c r="AD32" s="140"/>
      <c r="AE32" s="143"/>
      <c r="AF32" s="134">
        <v>1.0</v>
      </c>
    </row>
    <row r="33">
      <c r="A33" s="135">
        <v>28.0</v>
      </c>
      <c r="B33" s="147" t="s">
        <v>131</v>
      </c>
      <c r="C33" s="148" t="s">
        <v>141</v>
      </c>
      <c r="D33" s="149" t="s">
        <v>196</v>
      </c>
      <c r="E33" s="138"/>
      <c r="F33" s="139"/>
      <c r="G33" s="139"/>
      <c r="H33" s="142" t="s">
        <v>232</v>
      </c>
      <c r="I33" s="132"/>
      <c r="J33" s="132"/>
      <c r="K33" s="132"/>
      <c r="L33" s="132"/>
      <c r="M33" s="132"/>
      <c r="N33" s="132"/>
      <c r="O33" s="132"/>
      <c r="P33" s="142" t="s">
        <v>233</v>
      </c>
      <c r="Q33" s="132"/>
      <c r="R33" s="132"/>
      <c r="S33" s="132"/>
      <c r="T33" s="132"/>
      <c r="U33" s="132"/>
      <c r="V33" s="142"/>
      <c r="W33" s="132"/>
      <c r="X33" s="132"/>
      <c r="Y33" s="132"/>
      <c r="Z33" s="132"/>
      <c r="AA33" s="132"/>
      <c r="AB33" s="132"/>
      <c r="AC33" s="140"/>
      <c r="AD33" s="132"/>
      <c r="AE33" s="143"/>
      <c r="AF33" s="134">
        <v>1.0</v>
      </c>
    </row>
    <row r="34">
      <c r="A34" s="127">
        <v>29.0</v>
      </c>
      <c r="B34" s="128" t="s">
        <v>123</v>
      </c>
      <c r="C34" s="136" t="s">
        <v>234</v>
      </c>
      <c r="D34" s="157" t="s">
        <v>213</v>
      </c>
      <c r="E34" s="138"/>
      <c r="F34" s="139"/>
      <c r="G34" s="140"/>
      <c r="H34" s="141" t="s">
        <v>184</v>
      </c>
      <c r="I34" s="142" t="s">
        <v>220</v>
      </c>
      <c r="J34" s="141" t="s">
        <v>185</v>
      </c>
      <c r="K34" s="161"/>
      <c r="L34" s="132"/>
      <c r="M34" s="132"/>
      <c r="N34" s="142"/>
      <c r="O34" s="140"/>
      <c r="P34" s="140"/>
      <c r="Q34" s="132"/>
      <c r="R34" s="140"/>
      <c r="S34" s="132"/>
      <c r="T34" s="140"/>
      <c r="U34" s="140"/>
      <c r="V34" s="140"/>
      <c r="W34" s="141"/>
      <c r="X34" s="132"/>
      <c r="Y34" s="142"/>
      <c r="Z34" s="140"/>
      <c r="AA34" s="140"/>
      <c r="AB34" s="140"/>
      <c r="AC34" s="140"/>
      <c r="AD34" s="140"/>
      <c r="AE34" s="143"/>
      <c r="AF34" s="134">
        <v>1.0</v>
      </c>
    </row>
    <row r="35">
      <c r="A35" s="135">
        <v>30.0</v>
      </c>
      <c r="B35" s="128" t="s">
        <v>123</v>
      </c>
      <c r="C35" s="148" t="s">
        <v>235</v>
      </c>
      <c r="D35" s="137" t="s">
        <v>208</v>
      </c>
      <c r="E35" s="138"/>
      <c r="F35" s="139"/>
      <c r="G35" s="132"/>
      <c r="H35" s="132"/>
      <c r="I35" s="132"/>
      <c r="J35" s="132"/>
      <c r="K35" s="132"/>
      <c r="L35" s="132"/>
      <c r="M35" s="132"/>
      <c r="N35" s="132"/>
      <c r="O35" s="132"/>
      <c r="P35" s="141">
        <v>94.0</v>
      </c>
      <c r="Q35" s="142" t="s">
        <v>236</v>
      </c>
      <c r="R35" s="132"/>
      <c r="S35" s="132"/>
      <c r="T35" s="132"/>
      <c r="U35" s="132"/>
      <c r="V35" s="132"/>
      <c r="W35" s="132"/>
      <c r="X35" s="132"/>
      <c r="Y35" s="141"/>
      <c r="Z35" s="132"/>
      <c r="AA35" s="132"/>
      <c r="AB35" s="132"/>
      <c r="AC35" s="140"/>
      <c r="AD35" s="132"/>
      <c r="AE35" s="143"/>
      <c r="AF35" s="134">
        <v>1.0</v>
      </c>
    </row>
    <row r="36">
      <c r="A36" s="127">
        <v>31.0</v>
      </c>
      <c r="B36" s="128" t="s">
        <v>131</v>
      </c>
      <c r="C36" s="129" t="s">
        <v>237</v>
      </c>
      <c r="D36" s="157" t="s">
        <v>197</v>
      </c>
      <c r="E36" s="138"/>
      <c r="F36" s="132"/>
      <c r="G36" s="132"/>
      <c r="H36" s="132"/>
      <c r="I36" s="132"/>
      <c r="J36" s="132"/>
      <c r="K36" s="132"/>
      <c r="L36" s="132"/>
      <c r="M36" s="152"/>
      <c r="N36" s="132"/>
      <c r="O36" s="132"/>
      <c r="P36" s="132"/>
      <c r="Q36" s="132"/>
      <c r="R36" s="132"/>
      <c r="S36" s="132"/>
      <c r="T36" s="132"/>
      <c r="U36" s="132"/>
      <c r="V36" s="132"/>
      <c r="W36" s="132"/>
      <c r="X36" s="132"/>
      <c r="Y36" s="132"/>
      <c r="Z36" s="132"/>
      <c r="AA36" s="132"/>
      <c r="AB36" s="132"/>
      <c r="AC36" s="132"/>
      <c r="AD36" s="132"/>
      <c r="AE36" s="133">
        <v>46139.73316030092</v>
      </c>
      <c r="AF36" s="134">
        <v>1.0</v>
      </c>
    </row>
    <row r="37">
      <c r="A37" s="135">
        <v>32.0</v>
      </c>
      <c r="B37" s="128" t="s">
        <v>125</v>
      </c>
      <c r="C37" s="136" t="s">
        <v>238</v>
      </c>
      <c r="D37" s="162" t="s">
        <v>239</v>
      </c>
      <c r="E37" s="159" t="s">
        <v>194</v>
      </c>
      <c r="F37" s="139"/>
      <c r="G37" s="140"/>
      <c r="H37" s="132" t="s">
        <v>184</v>
      </c>
      <c r="I37" s="140"/>
      <c r="J37" s="141">
        <v>89.0</v>
      </c>
      <c r="K37" s="142" t="s">
        <v>240</v>
      </c>
      <c r="L37" s="132"/>
      <c r="M37" s="142">
        <v>37.0</v>
      </c>
      <c r="N37" s="142" t="s">
        <v>241</v>
      </c>
      <c r="O37" s="140"/>
      <c r="P37" s="140"/>
      <c r="Q37" s="132"/>
      <c r="R37" s="140"/>
      <c r="S37" s="132" t="s">
        <v>184</v>
      </c>
      <c r="T37" s="142"/>
      <c r="U37" s="140"/>
      <c r="V37" s="140"/>
      <c r="W37" s="132"/>
      <c r="X37" s="132"/>
      <c r="Y37" s="132"/>
      <c r="Z37" s="132"/>
      <c r="AA37" s="142"/>
      <c r="AB37" s="132"/>
      <c r="AC37" s="140"/>
      <c r="AD37" s="140"/>
      <c r="AE37" s="143"/>
      <c r="AF37" s="134">
        <v>1.0</v>
      </c>
    </row>
    <row r="38">
      <c r="A38" s="127">
        <v>33.0</v>
      </c>
      <c r="B38" s="128" t="s">
        <v>123</v>
      </c>
      <c r="C38" s="129" t="s">
        <v>242</v>
      </c>
      <c r="D38" s="137" t="s">
        <v>243</v>
      </c>
      <c r="E38" s="138"/>
      <c r="F38" s="132"/>
      <c r="G38" s="132"/>
      <c r="H38" s="132"/>
      <c r="I38" s="132"/>
      <c r="J38" s="132"/>
      <c r="K38" s="132"/>
      <c r="L38" s="132"/>
      <c r="M38" s="132"/>
      <c r="N38" s="132"/>
      <c r="O38" s="132"/>
      <c r="P38" s="132"/>
      <c r="Q38" s="132"/>
      <c r="R38" s="132"/>
      <c r="S38" s="132"/>
      <c r="T38" s="132"/>
      <c r="U38" s="132"/>
      <c r="V38" s="132"/>
      <c r="W38" s="132"/>
      <c r="X38" s="132"/>
      <c r="Y38" s="132"/>
      <c r="Z38" s="132"/>
      <c r="AA38" s="132"/>
      <c r="AB38" s="132"/>
      <c r="AC38" s="132"/>
      <c r="AD38" s="132"/>
      <c r="AE38" s="133">
        <v>46142.63241943287</v>
      </c>
      <c r="AF38" s="134">
        <v>1.0</v>
      </c>
    </row>
    <row r="39">
      <c r="A39" s="135">
        <v>34.0</v>
      </c>
      <c r="B39" s="128" t="s">
        <v>125</v>
      </c>
      <c r="C39" s="148" t="s">
        <v>244</v>
      </c>
      <c r="D39" s="145" t="s">
        <v>204</v>
      </c>
      <c r="E39" s="131"/>
      <c r="F39" s="139"/>
      <c r="G39" s="139"/>
      <c r="H39" s="132"/>
      <c r="I39" s="132"/>
      <c r="J39" s="132"/>
      <c r="K39" s="132"/>
      <c r="L39" s="132"/>
      <c r="M39" s="132"/>
      <c r="N39" s="132"/>
      <c r="O39" s="132"/>
      <c r="P39" s="132"/>
      <c r="Q39" s="132"/>
      <c r="R39" s="132"/>
      <c r="S39" s="132"/>
      <c r="T39" s="132"/>
      <c r="U39" s="132"/>
      <c r="V39" s="132"/>
      <c r="W39" s="132"/>
      <c r="X39" s="132"/>
      <c r="Y39" s="132"/>
      <c r="Z39" s="142"/>
      <c r="AA39" s="132"/>
      <c r="AB39" s="132"/>
      <c r="AC39" s="140"/>
      <c r="AD39" s="132"/>
      <c r="AE39" s="143"/>
      <c r="AF39" s="134">
        <v>1.0</v>
      </c>
    </row>
    <row r="40">
      <c r="A40" s="127">
        <v>35.0</v>
      </c>
      <c r="B40" s="128" t="s">
        <v>131</v>
      </c>
      <c r="C40" s="136" t="s">
        <v>245</v>
      </c>
      <c r="D40" s="137" t="s">
        <v>194</v>
      </c>
      <c r="E40" s="138"/>
      <c r="F40" s="139"/>
      <c r="G40" s="140"/>
      <c r="H40" s="132" t="s">
        <v>184</v>
      </c>
      <c r="I40" s="132"/>
      <c r="J40" s="141">
        <v>82.7</v>
      </c>
      <c r="K40" s="132"/>
      <c r="L40" s="132"/>
      <c r="M40" s="141">
        <v>35.0</v>
      </c>
      <c r="N40" s="132"/>
      <c r="O40" s="132"/>
      <c r="P40" s="163" t="s">
        <v>246</v>
      </c>
      <c r="Q40" s="141">
        <v>52.0</v>
      </c>
      <c r="R40" s="140"/>
      <c r="S40" s="132" t="s">
        <v>184</v>
      </c>
      <c r="T40" s="140"/>
      <c r="U40" s="140"/>
      <c r="V40" s="140"/>
      <c r="W40" s="141"/>
      <c r="X40" s="132"/>
      <c r="Y40" s="142"/>
      <c r="Z40" s="140"/>
      <c r="AA40" s="140"/>
      <c r="AB40" s="140"/>
      <c r="AC40" s="140"/>
      <c r="AD40" s="140"/>
      <c r="AE40" s="143"/>
      <c r="AF40" s="134"/>
    </row>
    <row r="41">
      <c r="A41" s="135">
        <v>36.0</v>
      </c>
      <c r="B41" s="128" t="s">
        <v>131</v>
      </c>
      <c r="C41" s="136" t="s">
        <v>247</v>
      </c>
      <c r="D41" s="157" t="s">
        <v>248</v>
      </c>
      <c r="E41" s="138"/>
      <c r="F41" s="139"/>
      <c r="G41" s="140"/>
      <c r="H41" s="132" t="s">
        <v>184</v>
      </c>
      <c r="I41" s="154"/>
      <c r="J41" s="141" t="s">
        <v>185</v>
      </c>
      <c r="K41" s="132"/>
      <c r="L41" s="132"/>
      <c r="M41" s="142" t="s">
        <v>188</v>
      </c>
      <c r="N41" s="142">
        <v>37.0</v>
      </c>
      <c r="O41" s="132"/>
      <c r="P41" s="140"/>
      <c r="Q41" s="160"/>
      <c r="R41" s="140"/>
      <c r="S41" s="132"/>
      <c r="T41" s="140"/>
      <c r="U41" s="140"/>
      <c r="V41" s="140"/>
      <c r="W41" s="132"/>
      <c r="X41" s="141"/>
      <c r="Y41" s="142"/>
      <c r="Z41" s="140"/>
      <c r="AA41" s="142"/>
      <c r="AB41" s="140"/>
      <c r="AC41" s="140"/>
      <c r="AD41" s="140"/>
      <c r="AE41" s="143"/>
      <c r="AF41" s="134">
        <v>1.0</v>
      </c>
    </row>
    <row r="42">
      <c r="A42" s="127">
        <v>37.0</v>
      </c>
      <c r="B42" s="128" t="s">
        <v>123</v>
      </c>
      <c r="C42" s="136" t="s">
        <v>249</v>
      </c>
      <c r="D42" s="137" t="s">
        <v>201</v>
      </c>
      <c r="E42" s="138"/>
      <c r="F42" s="154"/>
      <c r="G42" s="140"/>
      <c r="H42" s="142" t="s">
        <v>184</v>
      </c>
      <c r="I42" s="140"/>
      <c r="J42" s="142" t="s">
        <v>185</v>
      </c>
      <c r="K42" s="142"/>
      <c r="L42" s="142"/>
      <c r="M42" s="142" t="s">
        <v>184</v>
      </c>
      <c r="N42" s="140"/>
      <c r="O42" s="140"/>
      <c r="P42" s="140"/>
      <c r="Q42" s="142"/>
      <c r="R42" s="140"/>
      <c r="S42" s="142" t="s">
        <v>184</v>
      </c>
      <c r="T42" s="140"/>
      <c r="U42" s="140"/>
      <c r="V42" s="140"/>
      <c r="W42" s="142"/>
      <c r="X42" s="142"/>
      <c r="Y42" s="142"/>
      <c r="Z42" s="140"/>
      <c r="AA42" s="140"/>
      <c r="AB42" s="140"/>
      <c r="AC42" s="140"/>
      <c r="AD42" s="140"/>
      <c r="AE42" s="143"/>
      <c r="AF42" s="134">
        <v>1.0</v>
      </c>
    </row>
    <row r="43">
      <c r="A43" s="135">
        <v>38.0</v>
      </c>
      <c r="B43" s="128" t="s">
        <v>131</v>
      </c>
      <c r="C43" s="136" t="s">
        <v>250</v>
      </c>
      <c r="D43" s="137" t="s">
        <v>194</v>
      </c>
      <c r="E43" s="138"/>
      <c r="F43" s="139"/>
      <c r="G43" s="140"/>
      <c r="H43" s="132"/>
      <c r="I43" s="154"/>
      <c r="J43" s="141" t="s">
        <v>185</v>
      </c>
      <c r="K43" s="132"/>
      <c r="L43" s="132"/>
      <c r="M43" s="142" t="s">
        <v>251</v>
      </c>
      <c r="N43" s="164" t="s">
        <v>252</v>
      </c>
      <c r="O43" s="142"/>
      <c r="P43" s="140"/>
      <c r="Q43" s="142"/>
      <c r="R43" s="142" t="s">
        <v>185</v>
      </c>
      <c r="S43" s="142" t="s">
        <v>184</v>
      </c>
      <c r="T43" s="132"/>
      <c r="U43" s="132"/>
      <c r="V43" s="140"/>
      <c r="W43" s="132"/>
      <c r="X43" s="132"/>
      <c r="Y43" s="132"/>
      <c r="Z43" s="140"/>
      <c r="AA43" s="142"/>
      <c r="AB43" s="142"/>
      <c r="AC43" s="140"/>
      <c r="AD43" s="140"/>
      <c r="AE43" s="143"/>
      <c r="AF43" s="165">
        <v>0.0</v>
      </c>
    </row>
    <row r="44">
      <c r="A44" s="127">
        <v>39.0</v>
      </c>
      <c r="B44" s="128" t="s">
        <v>131</v>
      </c>
      <c r="C44" s="136" t="s">
        <v>253</v>
      </c>
      <c r="D44" s="137" t="s">
        <v>187</v>
      </c>
      <c r="E44" s="138"/>
      <c r="F44" s="139" t="s">
        <v>184</v>
      </c>
      <c r="G44" s="140"/>
      <c r="H44" s="132" t="s">
        <v>184</v>
      </c>
      <c r="I44" s="140"/>
      <c r="J44" s="141" t="s">
        <v>185</v>
      </c>
      <c r="K44" s="132"/>
      <c r="L44" s="132"/>
      <c r="M44" s="142"/>
      <c r="N44" s="142"/>
      <c r="O44" s="142"/>
      <c r="P44" s="140"/>
      <c r="Q44" s="141"/>
      <c r="R44" s="140"/>
      <c r="S44" s="132" t="s">
        <v>184</v>
      </c>
      <c r="T44" s="140"/>
      <c r="U44" s="140"/>
      <c r="V44" s="140"/>
      <c r="W44" s="141"/>
      <c r="X44" s="132"/>
      <c r="Y44" s="141"/>
      <c r="Z44" s="140"/>
      <c r="AA44" s="140"/>
      <c r="AB44" s="140"/>
      <c r="AC44" s="140"/>
      <c r="AD44" s="140"/>
      <c r="AE44" s="143"/>
      <c r="AF44" s="134">
        <v>1.0</v>
      </c>
    </row>
    <row r="45">
      <c r="A45" s="135">
        <v>40.0</v>
      </c>
      <c r="B45" s="128" t="s">
        <v>131</v>
      </c>
      <c r="C45" s="136" t="s">
        <v>254</v>
      </c>
      <c r="D45" s="137" t="s">
        <v>255</v>
      </c>
      <c r="E45" s="138"/>
      <c r="F45" s="139"/>
      <c r="G45" s="140"/>
      <c r="H45" s="141" t="s">
        <v>184</v>
      </c>
      <c r="I45" s="154"/>
      <c r="J45" s="141" t="s">
        <v>185</v>
      </c>
      <c r="K45" s="141" t="s">
        <v>226</v>
      </c>
      <c r="L45" s="132"/>
      <c r="M45" s="142" t="s">
        <v>256</v>
      </c>
      <c r="N45" s="142" t="s">
        <v>256</v>
      </c>
      <c r="O45" s="140"/>
      <c r="P45" s="140"/>
      <c r="Q45" s="142" t="s">
        <v>257</v>
      </c>
      <c r="R45" s="140"/>
      <c r="S45" s="142" t="s">
        <v>184</v>
      </c>
      <c r="T45" s="140"/>
      <c r="U45" s="140"/>
      <c r="V45" s="142"/>
      <c r="W45" s="141"/>
      <c r="X45" s="132"/>
      <c r="Y45" s="141"/>
      <c r="Z45" s="141"/>
      <c r="AA45" s="140"/>
      <c r="AB45" s="140"/>
      <c r="AC45" s="140"/>
      <c r="AD45" s="140"/>
      <c r="AE45" s="143"/>
      <c r="AF45" s="134">
        <v>1.0</v>
      </c>
    </row>
    <row r="46">
      <c r="A46" s="127">
        <v>41.0</v>
      </c>
      <c r="B46" s="128" t="s">
        <v>131</v>
      </c>
      <c r="C46" s="129" t="s">
        <v>258</v>
      </c>
      <c r="D46" s="137" t="s">
        <v>211</v>
      </c>
      <c r="E46" s="166" t="s">
        <v>183</v>
      </c>
      <c r="F46" s="139" t="s">
        <v>184</v>
      </c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X46" s="132"/>
      <c r="Y46" s="132"/>
      <c r="Z46" s="132"/>
      <c r="AA46" s="132"/>
      <c r="AB46" s="132"/>
      <c r="AC46" s="132"/>
      <c r="AD46" s="132"/>
      <c r="AE46" s="133">
        <v>46141.601327870376</v>
      </c>
      <c r="AF46" s="134">
        <v>1.0</v>
      </c>
    </row>
    <row r="47">
      <c r="A47" s="135">
        <v>42.0</v>
      </c>
      <c r="B47" s="147" t="s">
        <v>131</v>
      </c>
      <c r="C47" s="148" t="s">
        <v>259</v>
      </c>
      <c r="D47" s="149" t="s">
        <v>229</v>
      </c>
      <c r="E47" s="138"/>
      <c r="F47" s="139"/>
      <c r="G47" s="132"/>
      <c r="H47" s="132"/>
      <c r="I47" s="132"/>
      <c r="J47" s="132"/>
      <c r="K47" s="132"/>
      <c r="L47" s="132"/>
      <c r="M47" s="132"/>
      <c r="N47" s="132"/>
      <c r="O47" s="132"/>
      <c r="P47" s="132"/>
      <c r="Q47" s="132"/>
      <c r="R47" s="132"/>
      <c r="S47" s="132"/>
      <c r="T47" s="132"/>
      <c r="U47" s="132"/>
      <c r="V47" s="132"/>
      <c r="W47" s="132"/>
      <c r="X47" s="132"/>
      <c r="Y47" s="132"/>
      <c r="Z47" s="132"/>
      <c r="AA47" s="132"/>
      <c r="AB47" s="132"/>
      <c r="AC47" s="132"/>
      <c r="AD47" s="132"/>
      <c r="AE47" s="143"/>
      <c r="AF47" s="134">
        <v>1.0</v>
      </c>
    </row>
    <row r="48">
      <c r="A48" s="127">
        <v>43.0</v>
      </c>
      <c r="B48" s="128" t="s">
        <v>123</v>
      </c>
      <c r="C48" s="136" t="s">
        <v>260</v>
      </c>
      <c r="D48" s="137" t="s">
        <v>248</v>
      </c>
      <c r="E48" s="138"/>
      <c r="F48" s="139"/>
      <c r="G48" s="140"/>
      <c r="H48" s="141" t="s">
        <v>184</v>
      </c>
      <c r="I48" s="142" t="s">
        <v>220</v>
      </c>
      <c r="J48" s="141" t="s">
        <v>185</v>
      </c>
      <c r="K48" s="132"/>
      <c r="L48" s="132"/>
      <c r="M48" s="132"/>
      <c r="N48" s="132"/>
      <c r="O48" s="164" t="s">
        <v>261</v>
      </c>
      <c r="P48" s="164" t="s">
        <v>262</v>
      </c>
      <c r="Q48" s="142">
        <v>73.0</v>
      </c>
      <c r="R48" s="140"/>
      <c r="S48" s="132" t="s">
        <v>184</v>
      </c>
      <c r="T48" s="140"/>
      <c r="U48" s="140"/>
      <c r="V48" s="140"/>
      <c r="W48" s="132"/>
      <c r="X48" s="132"/>
      <c r="Y48" s="132"/>
      <c r="Z48" s="142"/>
      <c r="AA48" s="142"/>
      <c r="AB48" s="140"/>
      <c r="AC48" s="140"/>
      <c r="AD48" s="140"/>
      <c r="AE48" s="143"/>
      <c r="AF48" s="165">
        <v>0.0</v>
      </c>
    </row>
    <row r="49">
      <c r="A49" s="135">
        <v>44.0</v>
      </c>
      <c r="B49" s="128" t="s">
        <v>123</v>
      </c>
      <c r="C49" s="136" t="s">
        <v>263</v>
      </c>
      <c r="D49" s="157" t="s">
        <v>201</v>
      </c>
      <c r="E49" s="138"/>
      <c r="F49" s="139"/>
      <c r="G49" s="140"/>
      <c r="H49" s="141" t="s">
        <v>184</v>
      </c>
      <c r="I49" s="154" t="s">
        <v>264</v>
      </c>
      <c r="J49" s="141">
        <v>97.57</v>
      </c>
      <c r="K49" s="139"/>
      <c r="L49" s="132"/>
      <c r="M49" s="132"/>
      <c r="N49" s="142">
        <v>85.0</v>
      </c>
      <c r="O49" s="142" t="s">
        <v>265</v>
      </c>
      <c r="P49" s="132"/>
      <c r="Q49" s="142"/>
      <c r="R49" s="140"/>
      <c r="S49" s="132" t="s">
        <v>184</v>
      </c>
      <c r="T49" s="142"/>
      <c r="U49" s="140"/>
      <c r="V49" s="142"/>
      <c r="W49" s="132"/>
      <c r="X49" s="132"/>
      <c r="Y49" s="142"/>
      <c r="Z49" s="142"/>
      <c r="AA49" s="142"/>
      <c r="AB49" s="141"/>
      <c r="AC49" s="140"/>
      <c r="AD49" s="140"/>
      <c r="AE49" s="143"/>
      <c r="AF49" s="134">
        <v>1.0</v>
      </c>
    </row>
    <row r="50">
      <c r="A50" s="127">
        <v>45.0</v>
      </c>
      <c r="B50" s="147"/>
      <c r="C50" s="148" t="s">
        <v>128</v>
      </c>
      <c r="D50" s="162" t="s">
        <v>266</v>
      </c>
      <c r="E50" s="167" t="s">
        <v>201</v>
      </c>
      <c r="F50" s="139"/>
      <c r="G50" s="139"/>
      <c r="H50" s="132"/>
      <c r="I50" s="139"/>
      <c r="J50" s="132"/>
      <c r="K50" s="132"/>
      <c r="L50" s="132"/>
      <c r="M50" s="132"/>
      <c r="N50" s="132"/>
      <c r="O50" s="132"/>
      <c r="P50" s="132"/>
      <c r="Q50" s="132"/>
      <c r="R50" s="132"/>
      <c r="S50" s="132"/>
      <c r="T50" s="132"/>
      <c r="U50" s="132"/>
      <c r="V50" s="132"/>
      <c r="W50" s="132"/>
      <c r="X50" s="132"/>
      <c r="Y50" s="132"/>
      <c r="Z50" s="132"/>
      <c r="AA50" s="132"/>
      <c r="AB50" s="132"/>
      <c r="AC50" s="140"/>
      <c r="AD50" s="132"/>
      <c r="AE50" s="143"/>
      <c r="AF50" s="134">
        <v>1.0</v>
      </c>
    </row>
    <row r="51">
      <c r="A51" s="135">
        <v>46.0</v>
      </c>
      <c r="B51" s="147" t="s">
        <v>131</v>
      </c>
      <c r="C51" s="148" t="s">
        <v>137</v>
      </c>
      <c r="D51" s="151" t="s">
        <v>225</v>
      </c>
      <c r="E51" s="138"/>
      <c r="F51" s="139"/>
      <c r="G51" s="132"/>
      <c r="H51" s="132"/>
      <c r="I51" s="132"/>
      <c r="J51" s="161"/>
      <c r="K51" s="161"/>
      <c r="L51" s="132"/>
      <c r="M51" s="132"/>
      <c r="N51" s="132"/>
      <c r="O51" s="132"/>
      <c r="P51" s="132"/>
      <c r="Q51" s="141">
        <v>80.0</v>
      </c>
      <c r="R51" s="132"/>
      <c r="S51" s="132"/>
      <c r="T51" s="142"/>
      <c r="U51" s="132"/>
      <c r="V51" s="132"/>
      <c r="W51" s="132"/>
      <c r="X51" s="132"/>
      <c r="Y51" s="132"/>
      <c r="Z51" s="132"/>
      <c r="AA51" s="132"/>
      <c r="AB51" s="132"/>
      <c r="AC51" s="132"/>
      <c r="AD51" s="132"/>
      <c r="AE51" s="143"/>
      <c r="AF51" s="134">
        <v>1.0</v>
      </c>
    </row>
    <row r="52">
      <c r="A52" s="127">
        <v>47.0</v>
      </c>
      <c r="B52" s="128" t="s">
        <v>131</v>
      </c>
      <c r="C52" s="136" t="s">
        <v>267</v>
      </c>
      <c r="D52" s="157" t="s">
        <v>187</v>
      </c>
      <c r="E52" s="138"/>
      <c r="F52" s="139" t="s">
        <v>184</v>
      </c>
      <c r="G52" s="140"/>
      <c r="H52" s="132" t="s">
        <v>184</v>
      </c>
      <c r="I52" s="140"/>
      <c r="J52" s="141" t="s">
        <v>185</v>
      </c>
      <c r="K52" s="141"/>
      <c r="L52" s="132"/>
      <c r="M52" s="141" t="s">
        <v>184</v>
      </c>
      <c r="N52" s="168" t="s">
        <v>268</v>
      </c>
      <c r="O52" s="142">
        <v>60.0</v>
      </c>
      <c r="P52" s="168" t="s">
        <v>269</v>
      </c>
      <c r="Q52" s="169"/>
      <c r="R52" s="140"/>
      <c r="S52" s="132" t="s">
        <v>184</v>
      </c>
      <c r="T52" s="140"/>
      <c r="U52" s="140"/>
      <c r="V52" s="140"/>
      <c r="W52" s="132"/>
      <c r="X52" s="132"/>
      <c r="Y52" s="141"/>
      <c r="Z52" s="140"/>
      <c r="AA52" s="140"/>
      <c r="AB52" s="140"/>
      <c r="AC52" s="140"/>
      <c r="AD52" s="140"/>
      <c r="AE52" s="143"/>
      <c r="AF52" s="134">
        <v>1.0</v>
      </c>
    </row>
    <row r="53">
      <c r="A53" s="150">
        <v>48.0</v>
      </c>
      <c r="B53" s="147" t="s">
        <v>123</v>
      </c>
      <c r="C53" s="148" t="s">
        <v>142</v>
      </c>
      <c r="D53" s="149" t="s">
        <v>208</v>
      </c>
      <c r="E53" s="138"/>
      <c r="F53" s="139"/>
      <c r="G53" s="132"/>
      <c r="H53" s="139"/>
      <c r="I53" s="132"/>
      <c r="J53" s="132"/>
      <c r="K53" s="139"/>
      <c r="L53" s="132"/>
      <c r="M53" s="132"/>
      <c r="N53" s="139"/>
      <c r="O53" s="132"/>
      <c r="P53" s="132"/>
      <c r="Q53" s="139"/>
      <c r="R53" s="132"/>
      <c r="S53" s="132"/>
      <c r="T53" s="132"/>
      <c r="U53" s="132"/>
      <c r="V53" s="132"/>
      <c r="W53" s="132"/>
      <c r="X53" s="132"/>
      <c r="Y53" s="139"/>
      <c r="Z53" s="139"/>
      <c r="AA53" s="142"/>
      <c r="AB53" s="132"/>
      <c r="AC53" s="132"/>
      <c r="AD53" s="132"/>
      <c r="AE53" s="143"/>
      <c r="AF53" s="134">
        <v>1.0</v>
      </c>
    </row>
    <row r="54">
      <c r="A54" s="127">
        <v>49.0</v>
      </c>
      <c r="B54" s="128" t="s">
        <v>123</v>
      </c>
      <c r="C54" s="136" t="s">
        <v>270</v>
      </c>
      <c r="D54" s="137" t="s">
        <v>271</v>
      </c>
      <c r="E54" s="138"/>
      <c r="F54" s="139" t="s">
        <v>184</v>
      </c>
      <c r="G54" s="140"/>
      <c r="H54" s="132" t="s">
        <v>184</v>
      </c>
      <c r="I54" s="140"/>
      <c r="J54" s="141" t="s">
        <v>185</v>
      </c>
      <c r="K54" s="141">
        <v>11.0</v>
      </c>
      <c r="L54" s="132"/>
      <c r="M54" s="132" t="s">
        <v>184</v>
      </c>
      <c r="N54" s="140"/>
      <c r="O54" s="140"/>
      <c r="P54" s="140"/>
      <c r="Q54" s="132"/>
      <c r="R54" s="140"/>
      <c r="S54" s="132" t="s">
        <v>184</v>
      </c>
      <c r="T54" s="140"/>
      <c r="U54" s="140"/>
      <c r="V54" s="140"/>
      <c r="W54" s="141"/>
      <c r="X54" s="132"/>
      <c r="Y54" s="141"/>
      <c r="Z54" s="140"/>
      <c r="AA54" s="140"/>
      <c r="AB54" s="140"/>
      <c r="AC54" s="140"/>
      <c r="AD54" s="140"/>
      <c r="AE54" s="143"/>
      <c r="AF54" s="134">
        <v>1.0</v>
      </c>
    </row>
    <row r="55">
      <c r="A55" s="135">
        <v>50.0</v>
      </c>
      <c r="B55" s="128"/>
      <c r="C55" s="136" t="s">
        <v>272</v>
      </c>
      <c r="D55" s="130" t="s">
        <v>273</v>
      </c>
      <c r="E55" s="131"/>
      <c r="F55" s="139" t="s">
        <v>184</v>
      </c>
      <c r="G55" s="140"/>
      <c r="H55" s="142" t="s">
        <v>184</v>
      </c>
      <c r="I55" s="140"/>
      <c r="J55" s="142" t="s">
        <v>185</v>
      </c>
      <c r="K55" s="142"/>
      <c r="L55" s="142"/>
      <c r="M55" s="142" t="s">
        <v>184</v>
      </c>
      <c r="N55" s="140"/>
      <c r="O55" s="140"/>
      <c r="P55" s="140"/>
      <c r="Q55" s="142"/>
      <c r="R55" s="140"/>
      <c r="S55" s="132" t="s">
        <v>184</v>
      </c>
      <c r="T55" s="140"/>
      <c r="U55" s="140"/>
      <c r="V55" s="140"/>
      <c r="W55" s="142"/>
      <c r="X55" s="142"/>
      <c r="Y55" s="142"/>
      <c r="Z55" s="140"/>
      <c r="AA55" s="140"/>
      <c r="AB55" s="140"/>
      <c r="AC55" s="140"/>
      <c r="AD55" s="140"/>
      <c r="AE55" s="143"/>
      <c r="AF55" s="134">
        <v>1.0</v>
      </c>
    </row>
    <row r="56">
      <c r="A56" s="146">
        <v>51.0</v>
      </c>
      <c r="B56" s="147" t="s">
        <v>123</v>
      </c>
      <c r="C56" s="148" t="s">
        <v>274</v>
      </c>
      <c r="D56" s="149" t="s">
        <v>208</v>
      </c>
      <c r="E56" s="138"/>
      <c r="F56" s="139"/>
      <c r="G56" s="132"/>
      <c r="H56" s="132"/>
      <c r="I56" s="132"/>
      <c r="J56" s="132"/>
      <c r="K56" s="132"/>
      <c r="L56" s="132"/>
      <c r="M56" s="132"/>
      <c r="N56" s="132"/>
      <c r="O56" s="132"/>
      <c r="P56" s="132"/>
      <c r="Q56" s="132"/>
      <c r="R56" s="132"/>
      <c r="S56" s="132"/>
      <c r="T56" s="132"/>
      <c r="U56" s="132"/>
      <c r="V56" s="132"/>
      <c r="W56" s="132"/>
      <c r="X56" s="132"/>
      <c r="Y56" s="132"/>
      <c r="Z56" s="132"/>
      <c r="AA56" s="132"/>
      <c r="AB56" s="132"/>
      <c r="AC56" s="132"/>
      <c r="AD56" s="132"/>
      <c r="AE56" s="143"/>
      <c r="AF56" s="134">
        <v>1.0</v>
      </c>
    </row>
    <row r="57">
      <c r="A57" s="135">
        <v>52.0</v>
      </c>
      <c r="B57" s="128" t="s">
        <v>123</v>
      </c>
      <c r="C57" s="136" t="s">
        <v>275</v>
      </c>
      <c r="D57" s="137" t="s">
        <v>204</v>
      </c>
      <c r="E57" s="138"/>
      <c r="F57" s="139" t="s">
        <v>184</v>
      </c>
      <c r="G57" s="140"/>
      <c r="H57" s="132" t="s">
        <v>184</v>
      </c>
      <c r="I57" s="140"/>
      <c r="J57" s="141" t="s">
        <v>185</v>
      </c>
      <c r="K57" s="141"/>
      <c r="L57" s="132"/>
      <c r="M57" s="141" t="s">
        <v>184</v>
      </c>
      <c r="N57" s="140"/>
      <c r="O57" s="140"/>
      <c r="P57" s="140"/>
      <c r="Q57" s="141"/>
      <c r="R57" s="140"/>
      <c r="S57" s="132" t="s">
        <v>184</v>
      </c>
      <c r="T57" s="140"/>
      <c r="U57" s="140"/>
      <c r="V57" s="140"/>
      <c r="W57" s="141"/>
      <c r="X57" s="141"/>
      <c r="Y57" s="141"/>
      <c r="Z57" s="140"/>
      <c r="AA57" s="140"/>
      <c r="AB57" s="140"/>
      <c r="AC57" s="140"/>
      <c r="AD57" s="140"/>
      <c r="AE57" s="143"/>
      <c r="AF57" s="134"/>
    </row>
    <row r="58">
      <c r="A58" s="127">
        <v>53.0</v>
      </c>
      <c r="B58" s="147" t="s">
        <v>131</v>
      </c>
      <c r="C58" s="148" t="s">
        <v>132</v>
      </c>
      <c r="D58" s="151" t="s">
        <v>271</v>
      </c>
      <c r="E58" s="138"/>
      <c r="F58" s="139"/>
      <c r="G58" s="139"/>
      <c r="H58" s="141" t="s">
        <v>276</v>
      </c>
      <c r="I58" s="152"/>
      <c r="J58" s="152"/>
      <c r="K58" s="139"/>
      <c r="L58" s="139"/>
      <c r="M58" s="139"/>
      <c r="N58" s="170"/>
      <c r="O58" s="170"/>
      <c r="P58" s="170"/>
      <c r="Q58" s="139"/>
      <c r="R58" s="170"/>
      <c r="S58" s="132"/>
      <c r="T58" s="170"/>
      <c r="U58" s="170"/>
      <c r="V58" s="139"/>
      <c r="W58" s="139"/>
      <c r="X58" s="139"/>
      <c r="Y58" s="139"/>
      <c r="Z58" s="139"/>
      <c r="AA58" s="139"/>
      <c r="AB58" s="139"/>
      <c r="AC58" s="140"/>
      <c r="AD58" s="140"/>
      <c r="AE58" s="143"/>
      <c r="AF58" s="134"/>
    </row>
    <row r="59">
      <c r="A59" s="135">
        <v>54.0</v>
      </c>
      <c r="B59" s="128" t="s">
        <v>123</v>
      </c>
      <c r="C59" s="129" t="s">
        <v>277</v>
      </c>
      <c r="D59" s="137" t="s">
        <v>243</v>
      </c>
      <c r="E59" s="138"/>
      <c r="F59" s="139"/>
      <c r="G59" s="152"/>
      <c r="H59" s="132"/>
      <c r="I59" s="132"/>
      <c r="J59" s="152"/>
      <c r="K59" s="152"/>
      <c r="L59" s="152"/>
      <c r="M59" s="171"/>
      <c r="N59" s="170"/>
      <c r="O59" s="132"/>
      <c r="P59" s="172"/>
      <c r="Q59" s="132"/>
      <c r="R59" s="132"/>
      <c r="S59" s="132"/>
      <c r="T59" s="132"/>
      <c r="U59" s="132"/>
      <c r="V59" s="132"/>
      <c r="W59" s="132"/>
      <c r="X59" s="132"/>
      <c r="Y59" s="132"/>
      <c r="Z59" s="132"/>
      <c r="AA59" s="132"/>
      <c r="AB59" s="132"/>
      <c r="AC59" s="132"/>
      <c r="AD59" s="132"/>
      <c r="AE59" s="133">
        <v>46142.63233184028</v>
      </c>
      <c r="AF59" s="134"/>
    </row>
    <row r="60">
      <c r="A60" s="127">
        <v>55.0</v>
      </c>
      <c r="B60" s="147" t="s">
        <v>125</v>
      </c>
      <c r="C60" s="148" t="s">
        <v>139</v>
      </c>
      <c r="D60" s="162" t="s">
        <v>278</v>
      </c>
      <c r="E60" s="159" t="s">
        <v>194</v>
      </c>
      <c r="F60" s="139"/>
      <c r="G60" s="132"/>
      <c r="H60" s="141"/>
      <c r="I60" s="132"/>
      <c r="J60" s="132"/>
      <c r="K60" s="132"/>
      <c r="L60" s="132"/>
      <c r="M60" s="132"/>
      <c r="N60" s="132"/>
      <c r="O60" s="132"/>
      <c r="P60" s="132"/>
      <c r="Q60" s="132"/>
      <c r="R60" s="132"/>
      <c r="S60" s="132"/>
      <c r="T60" s="132"/>
      <c r="U60" s="132"/>
      <c r="V60" s="132"/>
      <c r="W60" s="132"/>
      <c r="X60" s="132"/>
      <c r="Y60" s="132"/>
      <c r="Z60" s="132"/>
      <c r="AA60" s="141"/>
      <c r="AB60" s="132"/>
      <c r="AC60" s="140"/>
      <c r="AD60" s="140"/>
      <c r="AE60" s="143"/>
      <c r="AF60" s="134"/>
    </row>
    <row r="61">
      <c r="A61" s="135">
        <v>56.0</v>
      </c>
      <c r="B61" s="147" t="s">
        <v>123</v>
      </c>
      <c r="C61" s="148" t="s">
        <v>130</v>
      </c>
      <c r="D61" s="151" t="s">
        <v>279</v>
      </c>
      <c r="E61" s="138"/>
      <c r="F61" s="139"/>
      <c r="G61" s="132"/>
      <c r="H61" s="132"/>
      <c r="I61" s="132"/>
      <c r="J61" s="132"/>
      <c r="K61" s="132"/>
      <c r="L61" s="132"/>
      <c r="M61" s="132"/>
      <c r="N61" s="139"/>
      <c r="O61" s="139"/>
      <c r="P61" s="139"/>
      <c r="Q61" s="139"/>
      <c r="R61" s="139"/>
      <c r="S61" s="139"/>
      <c r="T61" s="139"/>
      <c r="U61" s="139"/>
      <c r="V61" s="139"/>
      <c r="W61" s="132"/>
      <c r="X61" s="132"/>
      <c r="Y61" s="139"/>
      <c r="Z61" s="141"/>
      <c r="AA61" s="142"/>
      <c r="AB61" s="132"/>
      <c r="AC61" s="132"/>
      <c r="AD61" s="132"/>
      <c r="AE61" s="143"/>
      <c r="AF61" s="134"/>
    </row>
    <row r="62">
      <c r="A62" s="127">
        <v>57.0</v>
      </c>
      <c r="B62" s="147" t="s">
        <v>131</v>
      </c>
      <c r="C62" s="148" t="s">
        <v>280</v>
      </c>
      <c r="D62" s="151" t="s">
        <v>211</v>
      </c>
      <c r="E62" s="155" t="s">
        <v>183</v>
      </c>
      <c r="F62" s="139"/>
      <c r="G62" s="132"/>
      <c r="H62" s="132"/>
      <c r="I62" s="132"/>
      <c r="J62" s="132"/>
      <c r="K62" s="132"/>
      <c r="L62" s="132"/>
      <c r="M62" s="132"/>
      <c r="N62" s="132"/>
      <c r="O62" s="132"/>
      <c r="P62" s="132"/>
      <c r="Q62" s="132"/>
      <c r="R62" s="132"/>
      <c r="S62" s="132"/>
      <c r="T62" s="132"/>
      <c r="U62" s="132"/>
      <c r="V62" s="132"/>
      <c r="W62" s="132"/>
      <c r="X62" s="132"/>
      <c r="Y62" s="132"/>
      <c r="Z62" s="132"/>
      <c r="AA62" s="132"/>
      <c r="AB62" s="132"/>
      <c r="AC62" s="132"/>
      <c r="AD62" s="132"/>
      <c r="AE62" s="143"/>
      <c r="AF62" s="134"/>
    </row>
    <row r="63">
      <c r="A63" s="135">
        <v>58.0</v>
      </c>
      <c r="B63" s="128" t="s">
        <v>123</v>
      </c>
      <c r="C63" s="136" t="s">
        <v>281</v>
      </c>
      <c r="D63" s="157" t="s">
        <v>282</v>
      </c>
      <c r="E63" s="138"/>
      <c r="F63" s="139" t="s">
        <v>184</v>
      </c>
      <c r="G63" s="140"/>
      <c r="H63" s="141" t="s">
        <v>184</v>
      </c>
      <c r="I63" s="140"/>
      <c r="J63" s="141" t="s">
        <v>185</v>
      </c>
      <c r="K63" s="142">
        <v>14.0</v>
      </c>
      <c r="L63" s="132"/>
      <c r="M63" s="142" t="s">
        <v>283</v>
      </c>
      <c r="N63" s="142" t="s">
        <v>284</v>
      </c>
      <c r="O63" s="142" t="s">
        <v>285</v>
      </c>
      <c r="P63" s="142">
        <v>86.0</v>
      </c>
      <c r="Q63" s="132"/>
      <c r="R63" s="140"/>
      <c r="S63" s="132" t="s">
        <v>184</v>
      </c>
      <c r="T63" s="140"/>
      <c r="U63" s="140"/>
      <c r="V63" s="140"/>
      <c r="W63" s="132"/>
      <c r="X63" s="141"/>
      <c r="Y63" s="142"/>
      <c r="Z63" s="140"/>
      <c r="AA63" s="140"/>
      <c r="AB63" s="140"/>
      <c r="AC63" s="140"/>
      <c r="AD63" s="140"/>
      <c r="AE63" s="143"/>
      <c r="AF63" s="134"/>
    </row>
    <row r="64">
      <c r="A64" s="127">
        <v>59.0</v>
      </c>
      <c r="B64" s="128" t="s">
        <v>125</v>
      </c>
      <c r="C64" s="136" t="s">
        <v>286</v>
      </c>
      <c r="D64" s="130" t="s">
        <v>271</v>
      </c>
      <c r="E64" s="131"/>
      <c r="F64" s="139"/>
      <c r="G64" s="140"/>
      <c r="H64" s="142" t="s">
        <v>184</v>
      </c>
      <c r="I64" s="142"/>
      <c r="J64" s="141" t="s">
        <v>185</v>
      </c>
      <c r="K64" s="132"/>
      <c r="L64" s="142" t="s">
        <v>287</v>
      </c>
      <c r="M64" s="142"/>
      <c r="N64" s="142"/>
      <c r="O64" s="140"/>
      <c r="P64" s="140"/>
      <c r="Q64" s="142"/>
      <c r="R64" s="142" t="s">
        <v>185</v>
      </c>
      <c r="S64" s="142"/>
      <c r="T64" s="140"/>
      <c r="U64" s="140"/>
      <c r="V64" s="140"/>
      <c r="W64" s="141"/>
      <c r="X64" s="142"/>
      <c r="Y64" s="142"/>
      <c r="Z64" s="142"/>
      <c r="AA64" s="140"/>
      <c r="AB64" s="140"/>
      <c r="AC64" s="140"/>
      <c r="AD64" s="140"/>
      <c r="AE64" s="143"/>
      <c r="AF64" s="134"/>
    </row>
    <row r="65">
      <c r="A65" s="135">
        <v>60.0</v>
      </c>
      <c r="B65" s="128" t="s">
        <v>123</v>
      </c>
      <c r="C65" s="129" t="s">
        <v>129</v>
      </c>
      <c r="D65" s="137" t="s">
        <v>288</v>
      </c>
      <c r="E65" s="138"/>
      <c r="F65" s="139"/>
      <c r="G65" s="139"/>
      <c r="H65" s="139"/>
      <c r="I65" s="139"/>
      <c r="J65" s="139"/>
      <c r="K65" s="132"/>
      <c r="L65" s="132"/>
      <c r="M65" s="173"/>
      <c r="N65" s="132"/>
      <c r="O65" s="132"/>
      <c r="P65" s="132"/>
      <c r="Q65" s="132"/>
      <c r="R65" s="132"/>
      <c r="S65" s="132"/>
      <c r="T65" s="139"/>
      <c r="U65" s="132"/>
      <c r="V65" s="139"/>
      <c r="W65" s="132"/>
      <c r="X65" s="132"/>
      <c r="Y65" s="132"/>
      <c r="Z65" s="141"/>
      <c r="AA65" s="132"/>
      <c r="AB65" s="142"/>
      <c r="AC65" s="139"/>
      <c r="AD65" s="132"/>
      <c r="AE65" s="133">
        <v>46157.77591225694</v>
      </c>
      <c r="AF65" s="134"/>
    </row>
    <row r="66">
      <c r="A66" s="127">
        <v>61.0</v>
      </c>
      <c r="B66" s="128" t="s">
        <v>125</v>
      </c>
      <c r="C66" s="136" t="s">
        <v>289</v>
      </c>
      <c r="D66" s="130" t="s">
        <v>255</v>
      </c>
      <c r="E66" s="131"/>
      <c r="F66" s="142"/>
      <c r="G66" s="140"/>
      <c r="H66" s="132" t="s">
        <v>184</v>
      </c>
      <c r="I66" s="142"/>
      <c r="J66" s="141" t="s">
        <v>185</v>
      </c>
      <c r="K66" s="132"/>
      <c r="L66" s="132"/>
      <c r="M66" s="168" t="s">
        <v>290</v>
      </c>
      <c r="N66" s="142" t="s">
        <v>291</v>
      </c>
      <c r="O66" s="140" t="s">
        <v>184</v>
      </c>
      <c r="P66" s="140" t="s">
        <v>184</v>
      </c>
      <c r="Q66" s="142"/>
      <c r="R66" s="142" t="s">
        <v>185</v>
      </c>
      <c r="S66" s="142" t="s">
        <v>226</v>
      </c>
      <c r="T66" s="140"/>
      <c r="U66" s="140"/>
      <c r="V66" s="140"/>
      <c r="W66" s="141"/>
      <c r="X66" s="132"/>
      <c r="Y66" s="142"/>
      <c r="Z66" s="142"/>
      <c r="AA66" s="132"/>
      <c r="AB66" s="140"/>
      <c r="AC66" s="140"/>
      <c r="AD66" s="132"/>
      <c r="AE66" s="143"/>
      <c r="AF66" s="134"/>
    </row>
    <row r="67">
      <c r="A67" s="135">
        <v>62.0</v>
      </c>
      <c r="B67" s="128" t="s">
        <v>131</v>
      </c>
      <c r="C67" s="136" t="s">
        <v>292</v>
      </c>
      <c r="D67" s="137" t="s">
        <v>271</v>
      </c>
      <c r="E67" s="138"/>
      <c r="F67" s="139"/>
      <c r="G67" s="140"/>
      <c r="H67" s="132"/>
      <c r="I67" s="142"/>
      <c r="J67" s="141" t="s">
        <v>185</v>
      </c>
      <c r="K67" s="132"/>
      <c r="L67" s="132"/>
      <c r="M67" s="142" t="s">
        <v>293</v>
      </c>
      <c r="N67" s="132"/>
      <c r="O67" s="140"/>
      <c r="P67" s="140"/>
      <c r="Q67" s="132"/>
      <c r="R67" s="142" t="s">
        <v>185</v>
      </c>
      <c r="S67" s="142"/>
      <c r="T67" s="140"/>
      <c r="U67" s="140"/>
      <c r="V67" s="140"/>
      <c r="W67" s="142"/>
      <c r="X67" s="132"/>
      <c r="Y67" s="140"/>
      <c r="Z67" s="140"/>
      <c r="AA67" s="140"/>
      <c r="AB67" s="140"/>
      <c r="AC67" s="140"/>
      <c r="AD67" s="140"/>
      <c r="AE67" s="143"/>
      <c r="AF67" s="134"/>
    </row>
    <row r="68">
      <c r="A68" s="127">
        <v>63.0</v>
      </c>
      <c r="B68" s="147" t="s">
        <v>125</v>
      </c>
      <c r="C68" s="148" t="s">
        <v>133</v>
      </c>
      <c r="D68" s="174" t="s">
        <v>223</v>
      </c>
      <c r="E68" s="131"/>
      <c r="F68" s="139"/>
      <c r="G68" s="139"/>
      <c r="H68" s="139"/>
      <c r="I68" s="132"/>
      <c r="J68" s="132"/>
      <c r="K68" s="132"/>
      <c r="L68" s="132"/>
      <c r="M68" s="139"/>
      <c r="N68" s="132"/>
      <c r="O68" s="132"/>
      <c r="P68" s="132"/>
      <c r="Q68" s="132"/>
      <c r="R68" s="132"/>
      <c r="S68" s="132"/>
      <c r="T68" s="139"/>
      <c r="U68" s="139"/>
      <c r="V68" s="141"/>
      <c r="W68" s="132"/>
      <c r="X68" s="132"/>
      <c r="Y68" s="132"/>
      <c r="Z68" s="132"/>
      <c r="AA68" s="132"/>
      <c r="AB68" s="132"/>
      <c r="AC68" s="140"/>
      <c r="AD68" s="140"/>
      <c r="AE68" s="143"/>
      <c r="AF68" s="134"/>
    </row>
    <row r="69">
      <c r="A69" s="135">
        <v>64.0</v>
      </c>
      <c r="B69" s="147" t="s">
        <v>131</v>
      </c>
      <c r="C69" s="148" t="s">
        <v>294</v>
      </c>
      <c r="D69" s="149" t="s">
        <v>181</v>
      </c>
      <c r="E69" s="138"/>
      <c r="F69" s="139"/>
      <c r="G69" s="141"/>
      <c r="H69" s="132"/>
      <c r="I69" s="132"/>
      <c r="J69" s="132"/>
      <c r="K69" s="132"/>
      <c r="L69" s="132"/>
      <c r="M69" s="132"/>
      <c r="N69" s="132"/>
      <c r="O69" s="132"/>
      <c r="P69" s="132"/>
      <c r="Q69" s="132"/>
      <c r="R69" s="132"/>
      <c r="S69" s="132"/>
      <c r="T69" s="132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43"/>
      <c r="AF69" s="134"/>
    </row>
    <row r="70">
      <c r="A70" s="127">
        <v>65.0</v>
      </c>
      <c r="B70" s="147" t="s">
        <v>123</v>
      </c>
      <c r="C70" s="148" t="s">
        <v>134</v>
      </c>
      <c r="D70" s="149" t="s">
        <v>187</v>
      </c>
      <c r="E70" s="138"/>
      <c r="F70" s="139"/>
      <c r="G70" s="141"/>
      <c r="H70" s="132"/>
      <c r="I70" s="132"/>
      <c r="J70" s="139"/>
      <c r="K70" s="132"/>
      <c r="L70" s="132"/>
      <c r="M70" s="132"/>
      <c r="N70" s="139"/>
      <c r="O70" s="139"/>
      <c r="P70" s="139"/>
      <c r="Q70" s="132"/>
      <c r="R70" s="132"/>
      <c r="S70" s="139"/>
      <c r="T70" s="142"/>
      <c r="U70" s="139"/>
      <c r="V70" s="139"/>
      <c r="W70" s="132"/>
      <c r="X70" s="132"/>
      <c r="Y70" s="132"/>
      <c r="Z70" s="139"/>
      <c r="AA70" s="139"/>
      <c r="AB70" s="132"/>
      <c r="AC70" s="132"/>
      <c r="AD70" s="132"/>
      <c r="AE70" s="143"/>
      <c r="AF70" s="134"/>
    </row>
    <row r="71">
      <c r="A71" s="150">
        <v>66.0</v>
      </c>
      <c r="B71" s="147" t="s">
        <v>131</v>
      </c>
      <c r="C71" s="148" t="s">
        <v>143</v>
      </c>
      <c r="D71" s="149" t="s">
        <v>248</v>
      </c>
      <c r="E71" s="138"/>
      <c r="F71" s="139"/>
      <c r="G71" s="141"/>
      <c r="H71" s="132"/>
      <c r="I71" s="132"/>
      <c r="J71" s="132"/>
      <c r="K71" s="132"/>
      <c r="L71" s="132"/>
      <c r="M71" s="132"/>
      <c r="N71" s="132"/>
      <c r="O71" s="132"/>
      <c r="P71" s="132"/>
      <c r="Q71" s="132"/>
      <c r="R71" s="132"/>
      <c r="S71" s="132"/>
      <c r="T71" s="132"/>
      <c r="U71" s="132"/>
      <c r="V71" s="132"/>
      <c r="W71" s="132"/>
      <c r="X71" s="132"/>
      <c r="Y71" s="132"/>
      <c r="Z71" s="132"/>
      <c r="AA71" s="132"/>
      <c r="AB71" s="132"/>
      <c r="AC71" s="140"/>
      <c r="AD71" s="140"/>
      <c r="AE71" s="143"/>
      <c r="AF71" s="134"/>
    </row>
    <row r="72">
      <c r="A72" s="127">
        <v>67.0</v>
      </c>
      <c r="B72" s="128" t="s">
        <v>123</v>
      </c>
      <c r="C72" s="136" t="s">
        <v>295</v>
      </c>
      <c r="D72" s="137" t="s">
        <v>255</v>
      </c>
      <c r="E72" s="138"/>
      <c r="F72" s="139" t="s">
        <v>184</v>
      </c>
      <c r="G72" s="140"/>
      <c r="H72" s="132" t="s">
        <v>184</v>
      </c>
      <c r="I72" s="142"/>
      <c r="J72" s="141" t="s">
        <v>185</v>
      </c>
      <c r="K72" s="132"/>
      <c r="L72" s="132"/>
      <c r="M72" s="132"/>
      <c r="N72" s="132"/>
      <c r="O72" s="142">
        <v>75.0</v>
      </c>
      <c r="P72" s="142">
        <v>78.0</v>
      </c>
      <c r="Q72" s="132"/>
      <c r="R72" s="140"/>
      <c r="S72" s="132"/>
      <c r="T72" s="140"/>
      <c r="U72" s="140"/>
      <c r="V72" s="140"/>
      <c r="W72" s="132"/>
      <c r="X72" s="142"/>
      <c r="Y72" s="142"/>
      <c r="Z72" s="140"/>
      <c r="AA72" s="142"/>
      <c r="AB72" s="140"/>
      <c r="AC72" s="140"/>
      <c r="AD72" s="140"/>
      <c r="AE72" s="143"/>
      <c r="AF72" s="134"/>
    </row>
    <row r="73">
      <c r="A73" s="135">
        <v>68.0</v>
      </c>
      <c r="B73" s="128" t="s">
        <v>131</v>
      </c>
      <c r="C73" s="148" t="s">
        <v>296</v>
      </c>
      <c r="D73" s="137" t="s">
        <v>187</v>
      </c>
      <c r="E73" s="138"/>
      <c r="F73" s="139"/>
      <c r="G73" s="139"/>
      <c r="H73" s="139"/>
      <c r="I73" s="139"/>
      <c r="J73" s="132"/>
      <c r="K73" s="132"/>
      <c r="L73" s="132"/>
      <c r="M73" s="132"/>
      <c r="N73" s="132"/>
      <c r="O73" s="132"/>
      <c r="P73" s="132"/>
      <c r="Q73" s="132"/>
      <c r="R73" s="132"/>
      <c r="S73" s="132"/>
      <c r="T73" s="132"/>
      <c r="U73" s="132"/>
      <c r="V73" s="132"/>
      <c r="W73" s="132"/>
      <c r="X73" s="132"/>
      <c r="Y73" s="132"/>
      <c r="Z73" s="132"/>
      <c r="AA73" s="132"/>
      <c r="AB73" s="141"/>
      <c r="AC73" s="140"/>
      <c r="AD73" s="140"/>
      <c r="AE73" s="143"/>
      <c r="AF73" s="134"/>
    </row>
    <row r="74">
      <c r="A74" s="127">
        <v>69.0</v>
      </c>
      <c r="B74" s="128" t="s">
        <v>131</v>
      </c>
      <c r="C74" s="136" t="s">
        <v>297</v>
      </c>
      <c r="D74" s="137" t="s">
        <v>243</v>
      </c>
      <c r="E74" s="138"/>
      <c r="F74" s="139" t="s">
        <v>184</v>
      </c>
      <c r="G74" s="140"/>
      <c r="H74" s="132" t="s">
        <v>184</v>
      </c>
      <c r="I74" s="141"/>
      <c r="J74" s="141" t="s">
        <v>185</v>
      </c>
      <c r="K74" s="132"/>
      <c r="L74" s="132"/>
      <c r="M74" s="142"/>
      <c r="N74" s="142">
        <v>56.0</v>
      </c>
      <c r="O74" s="132"/>
      <c r="P74" s="142"/>
      <c r="Q74" s="142"/>
      <c r="R74" s="140"/>
      <c r="S74" s="132" t="s">
        <v>184</v>
      </c>
      <c r="T74" s="140"/>
      <c r="U74" s="140"/>
      <c r="V74" s="140"/>
      <c r="W74" s="141"/>
      <c r="X74" s="141"/>
      <c r="Y74" s="141"/>
      <c r="Z74" s="140"/>
      <c r="AA74" s="140"/>
      <c r="AB74" s="140"/>
      <c r="AC74" s="140"/>
      <c r="AD74" s="140"/>
      <c r="AE74" s="143"/>
      <c r="AF74" s="134"/>
    </row>
    <row r="75">
      <c r="A75" s="135">
        <v>70.0</v>
      </c>
      <c r="B75" s="147" t="s">
        <v>125</v>
      </c>
      <c r="C75" s="148" t="s">
        <v>135</v>
      </c>
      <c r="D75" s="174" t="s">
        <v>196</v>
      </c>
      <c r="E75" s="131"/>
      <c r="F75" s="139"/>
      <c r="G75" s="132"/>
      <c r="H75" s="132"/>
      <c r="I75" s="132"/>
      <c r="J75" s="132"/>
      <c r="K75" s="132"/>
      <c r="L75" s="139"/>
      <c r="M75" s="132"/>
      <c r="N75" s="139"/>
      <c r="O75" s="139"/>
      <c r="P75" s="139"/>
      <c r="Q75" s="132"/>
      <c r="R75" s="132"/>
      <c r="S75" s="132"/>
      <c r="T75" s="132"/>
      <c r="U75" s="132"/>
      <c r="V75" s="142"/>
      <c r="W75" s="132"/>
      <c r="X75" s="132"/>
      <c r="Y75" s="132"/>
      <c r="Z75" s="132"/>
      <c r="AA75" s="132"/>
      <c r="AB75" s="132"/>
      <c r="AC75" s="140"/>
      <c r="AD75" s="140"/>
      <c r="AE75" s="143"/>
      <c r="AF75" s="134"/>
    </row>
    <row r="76">
      <c r="A76" s="127">
        <v>71.0</v>
      </c>
      <c r="B76" s="128" t="s">
        <v>131</v>
      </c>
      <c r="C76" s="136" t="s">
        <v>298</v>
      </c>
      <c r="D76" s="137" t="s">
        <v>194</v>
      </c>
      <c r="E76" s="138"/>
      <c r="F76" s="139"/>
      <c r="G76" s="142"/>
      <c r="H76" s="142"/>
      <c r="I76" s="141"/>
      <c r="J76" s="141" t="s">
        <v>185</v>
      </c>
      <c r="K76" s="142" t="s">
        <v>299</v>
      </c>
      <c r="L76" s="142">
        <v>30.0</v>
      </c>
      <c r="M76" s="142">
        <v>42.0</v>
      </c>
      <c r="N76" s="142" t="s">
        <v>300</v>
      </c>
      <c r="O76" s="142" t="s">
        <v>301</v>
      </c>
      <c r="P76" s="142"/>
      <c r="Q76" s="142"/>
      <c r="R76" s="142" t="s">
        <v>185</v>
      </c>
      <c r="S76" s="141"/>
      <c r="T76" s="132"/>
      <c r="U76" s="140"/>
      <c r="V76" s="142"/>
      <c r="W76" s="132"/>
      <c r="X76" s="132"/>
      <c r="Y76" s="132"/>
      <c r="Z76" s="132"/>
      <c r="AA76" s="142"/>
      <c r="AB76" s="142"/>
      <c r="AC76" s="140"/>
      <c r="AD76" s="132"/>
      <c r="AE76" s="143"/>
      <c r="AF76" s="134"/>
    </row>
    <row r="77">
      <c r="A77" s="135">
        <v>72.0</v>
      </c>
      <c r="B77" s="128" t="s">
        <v>125</v>
      </c>
      <c r="C77" s="136" t="s">
        <v>302</v>
      </c>
      <c r="D77" s="162" t="s">
        <v>303</v>
      </c>
      <c r="E77" s="159" t="s">
        <v>194</v>
      </c>
      <c r="F77" s="139" t="s">
        <v>184</v>
      </c>
      <c r="G77" s="140"/>
      <c r="H77" s="132" t="s">
        <v>184</v>
      </c>
      <c r="I77" s="140"/>
      <c r="J77" s="141" t="s">
        <v>185</v>
      </c>
      <c r="K77" s="132"/>
      <c r="L77" s="132"/>
      <c r="M77" s="141" t="s">
        <v>304</v>
      </c>
      <c r="N77" s="140"/>
      <c r="O77" s="140"/>
      <c r="P77" s="140"/>
      <c r="Q77" s="132"/>
      <c r="R77" s="140"/>
      <c r="S77" s="132" t="s">
        <v>184</v>
      </c>
      <c r="T77" s="140"/>
      <c r="U77" s="140"/>
      <c r="V77" s="140"/>
      <c r="W77" s="132"/>
      <c r="X77" s="132"/>
      <c r="Y77" s="141"/>
      <c r="Z77" s="140"/>
      <c r="AA77" s="140"/>
      <c r="AB77" s="140"/>
      <c r="AC77" s="140"/>
      <c r="AD77" s="140"/>
      <c r="AE77" s="143"/>
      <c r="AF77" s="134"/>
    </row>
    <row r="78">
      <c r="A78" s="127">
        <v>73.0</v>
      </c>
      <c r="B78" s="128" t="s">
        <v>123</v>
      </c>
      <c r="C78" s="136" t="s">
        <v>305</v>
      </c>
      <c r="D78" s="137" t="s">
        <v>199</v>
      </c>
      <c r="E78" s="138"/>
      <c r="F78" s="139" t="s">
        <v>184</v>
      </c>
      <c r="G78" s="140"/>
      <c r="H78" s="132"/>
      <c r="I78" s="140"/>
      <c r="J78" s="141" t="s">
        <v>185</v>
      </c>
      <c r="K78" s="141">
        <v>14.0</v>
      </c>
      <c r="L78" s="132"/>
      <c r="M78" s="132" t="s">
        <v>184</v>
      </c>
      <c r="N78" s="142">
        <v>44.0</v>
      </c>
      <c r="O78" s="175" t="s">
        <v>306</v>
      </c>
      <c r="P78" s="140"/>
      <c r="Q78" s="132"/>
      <c r="R78" s="140"/>
      <c r="S78" s="132" t="s">
        <v>184</v>
      </c>
      <c r="T78" s="140"/>
      <c r="U78" s="140"/>
      <c r="V78" s="140"/>
      <c r="W78" s="141"/>
      <c r="X78" s="132"/>
      <c r="Y78" s="142"/>
      <c r="Z78" s="142"/>
      <c r="AA78" s="142"/>
      <c r="AB78" s="140"/>
      <c r="AC78" s="140"/>
      <c r="AD78" s="140"/>
      <c r="AE78" s="143"/>
      <c r="AF78" s="134"/>
    </row>
    <row r="79">
      <c r="A79" s="135">
        <v>74.0</v>
      </c>
      <c r="B79" s="128" t="s">
        <v>123</v>
      </c>
      <c r="C79" s="136" t="s">
        <v>307</v>
      </c>
      <c r="D79" s="137" t="s">
        <v>199</v>
      </c>
      <c r="E79" s="138"/>
      <c r="F79" s="139" t="s">
        <v>184</v>
      </c>
      <c r="G79" s="140"/>
      <c r="H79" s="142"/>
      <c r="I79" s="140"/>
      <c r="J79" s="141" t="s">
        <v>185</v>
      </c>
      <c r="K79" s="132"/>
      <c r="L79" s="132"/>
      <c r="M79" s="132"/>
      <c r="N79" s="142"/>
      <c r="O79" s="140"/>
      <c r="P79" s="140"/>
      <c r="Q79" s="142"/>
      <c r="R79" s="140"/>
      <c r="S79" s="142" t="s">
        <v>184</v>
      </c>
      <c r="T79" s="140"/>
      <c r="U79" s="140"/>
      <c r="V79" s="140"/>
      <c r="W79" s="132"/>
      <c r="X79" s="141"/>
      <c r="Y79" s="142"/>
      <c r="Z79" s="140"/>
      <c r="AA79" s="142"/>
      <c r="AB79" s="140"/>
      <c r="AC79" s="140"/>
      <c r="AD79" s="140"/>
      <c r="AE79" s="143"/>
      <c r="AF79" s="134"/>
    </row>
  </sheetData>
  <mergeCells count="9">
    <mergeCell ref="W4:AB4"/>
    <mergeCell ref="AE4:AE5"/>
    <mergeCell ref="G2:P2"/>
    <mergeCell ref="R2:AA2"/>
    <mergeCell ref="A4:A5"/>
    <mergeCell ref="B4:B5"/>
    <mergeCell ref="C4:C5"/>
    <mergeCell ref="D4:E4"/>
    <mergeCell ref="F4:V4"/>
  </mergeCells>
  <conditionalFormatting sqref="AE10 AE17 AE47">
    <cfRule type="cellIs" dxfId="0" priority="1" operator="greaterThanOrEqual">
      <formula>(H10+J10+L10+M10+N10+O10+Y10+Z10+AB10+AC10+AD10+АС4) &gt;=23</formula>
    </cfRule>
  </conditionalFormatting>
  <conditionalFormatting sqref="C4:C5">
    <cfRule type="expression" dxfId="0" priority="2">
      <formula>(#REF!+#REF!+#REF!+#REF!+#REF!+#REF!+#REF!+#REF!+#REF!) &gt;=9</formula>
    </cfRule>
  </conditionalFormatting>
  <conditionalFormatting sqref="AE6:AF79">
    <cfRule type="cellIs" dxfId="1" priority="3" operator="equal">
      <formula>"""допущен"""</formula>
    </cfRule>
  </conditionalFormatting>
  <conditionalFormatting sqref="AE6:AF79">
    <cfRule type="cellIs" dxfId="0" priority="4" operator="greaterThanOrEqual">
      <formula>(G6+I6+K6+L6+M6+N6+X6+Y6+AA6+AB6+AC6+АС4) &gt;=23</formula>
    </cfRule>
  </conditionalFormatting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4.13"/>
    <col customWidth="1" min="2" max="2" width="7.63"/>
    <col customWidth="1" min="3" max="3" width="31.75"/>
    <col customWidth="1" min="4" max="5" width="12.0"/>
    <col customWidth="1" min="6" max="28" width="5.75"/>
    <col customWidth="1" min="29" max="30" width="6.0"/>
    <col customWidth="1" min="31" max="31" width="11.13"/>
    <col customWidth="1" hidden="1" min="32" max="32" width="11.13"/>
  </cols>
  <sheetData>
    <row r="1">
      <c r="A1" s="95"/>
      <c r="B1" s="95"/>
      <c r="C1" s="95"/>
      <c r="D1" s="95"/>
      <c r="E1" s="95"/>
      <c r="F1" s="95"/>
      <c r="G1" s="96"/>
      <c r="H1" s="96"/>
      <c r="I1" s="96"/>
      <c r="J1" s="96"/>
      <c r="K1" s="96"/>
      <c r="L1" s="96"/>
      <c r="M1" s="96"/>
      <c r="N1" s="96"/>
      <c r="O1" s="96"/>
      <c r="P1" s="96"/>
      <c r="Q1" s="95"/>
      <c r="R1" s="96"/>
      <c r="S1" s="96"/>
      <c r="T1" s="96"/>
      <c r="U1" s="96"/>
      <c r="V1" s="96"/>
      <c r="W1" s="96"/>
      <c r="X1" s="96"/>
      <c r="Y1" s="96"/>
      <c r="Z1" s="96"/>
      <c r="AA1" s="96"/>
      <c r="AB1" s="95"/>
      <c r="AC1" s="95"/>
      <c r="AD1" s="95"/>
      <c r="AE1" s="95"/>
      <c r="AF1" s="97"/>
    </row>
    <row r="2">
      <c r="A2" s="95"/>
      <c r="B2" s="95"/>
      <c r="C2" s="95"/>
      <c r="D2" s="95"/>
      <c r="E2" s="95"/>
      <c r="F2" s="98"/>
      <c r="G2" s="99" t="s">
        <v>144</v>
      </c>
      <c r="H2" s="100"/>
      <c r="I2" s="100"/>
      <c r="J2" s="100"/>
      <c r="K2" s="100"/>
      <c r="L2" s="100"/>
      <c r="M2" s="100"/>
      <c r="N2" s="100"/>
      <c r="O2" s="100"/>
      <c r="P2" s="100"/>
      <c r="Q2" s="101"/>
      <c r="R2" s="99" t="s">
        <v>145</v>
      </c>
      <c r="S2" s="100"/>
      <c r="T2" s="100"/>
      <c r="U2" s="100"/>
      <c r="V2" s="100"/>
      <c r="W2" s="100"/>
      <c r="X2" s="100"/>
      <c r="Y2" s="100"/>
      <c r="Z2" s="100"/>
      <c r="AA2" s="102"/>
      <c r="AB2" s="95"/>
      <c r="AC2" s="95"/>
      <c r="AD2" s="95"/>
      <c r="AE2" s="95"/>
      <c r="AF2" s="97"/>
    </row>
    <row r="3">
      <c r="A3" s="95"/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7"/>
    </row>
    <row r="4">
      <c r="A4" s="103" t="s">
        <v>146</v>
      </c>
      <c r="B4" s="104" t="s">
        <v>147</v>
      </c>
      <c r="C4" s="105" t="s">
        <v>148</v>
      </c>
      <c r="D4" s="106" t="s">
        <v>149</v>
      </c>
      <c r="E4" s="107"/>
      <c r="F4" s="108" t="s">
        <v>150</v>
      </c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7"/>
      <c r="W4" s="110" t="s">
        <v>151</v>
      </c>
      <c r="X4" s="111"/>
      <c r="Y4" s="111"/>
      <c r="Z4" s="111"/>
      <c r="AA4" s="111"/>
      <c r="AB4" s="112"/>
      <c r="AC4" s="113"/>
      <c r="AD4" s="113"/>
      <c r="AE4" s="114" t="s">
        <v>152</v>
      </c>
      <c r="AF4" s="115">
        <f>SUM(AF6:AF33)</f>
        <v>25</v>
      </c>
    </row>
    <row r="5">
      <c r="A5" s="116"/>
      <c r="B5" s="176"/>
      <c r="C5" s="177"/>
      <c r="D5" s="178" t="s">
        <v>153</v>
      </c>
      <c r="E5" s="179" t="s">
        <v>154</v>
      </c>
      <c r="F5" s="121" t="s">
        <v>155</v>
      </c>
      <c r="G5" s="180" t="s">
        <v>18</v>
      </c>
      <c r="H5" s="181" t="s">
        <v>156</v>
      </c>
      <c r="I5" s="180" t="s">
        <v>157</v>
      </c>
      <c r="J5" s="181" t="s">
        <v>158</v>
      </c>
      <c r="K5" s="181" t="s">
        <v>159</v>
      </c>
      <c r="L5" s="181" t="s">
        <v>160</v>
      </c>
      <c r="M5" s="181" t="s">
        <v>161</v>
      </c>
      <c r="N5" s="180" t="s">
        <v>162</v>
      </c>
      <c r="O5" s="180" t="s">
        <v>163</v>
      </c>
      <c r="P5" s="180" t="s">
        <v>164</v>
      </c>
      <c r="Q5" s="182" t="s">
        <v>165</v>
      </c>
      <c r="R5" s="180" t="s">
        <v>308</v>
      </c>
      <c r="S5" s="181" t="s">
        <v>167</v>
      </c>
      <c r="T5" s="122" t="s">
        <v>168</v>
      </c>
      <c r="U5" s="122" t="s">
        <v>169</v>
      </c>
      <c r="V5" s="122" t="s">
        <v>170</v>
      </c>
      <c r="W5" s="181" t="s">
        <v>171</v>
      </c>
      <c r="X5" s="181" t="s">
        <v>172</v>
      </c>
      <c r="Y5" s="181" t="s">
        <v>173</v>
      </c>
      <c r="Z5" s="183" t="s">
        <v>174</v>
      </c>
      <c r="AA5" s="183" t="s">
        <v>175</v>
      </c>
      <c r="AB5" s="183" t="s">
        <v>176</v>
      </c>
      <c r="AC5" s="184" t="s">
        <v>177</v>
      </c>
      <c r="AD5" s="126" t="s">
        <v>178</v>
      </c>
      <c r="AE5" s="118"/>
      <c r="AF5" s="115" t="s">
        <v>179</v>
      </c>
    </row>
    <row r="6">
      <c r="A6" s="185">
        <v>1.0</v>
      </c>
      <c r="B6" s="186" t="s">
        <v>309</v>
      </c>
      <c r="C6" s="129" t="s">
        <v>310</v>
      </c>
      <c r="D6" s="137" t="s">
        <v>288</v>
      </c>
      <c r="E6" s="138"/>
      <c r="F6" s="187"/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32"/>
      <c r="AB6" s="141"/>
      <c r="AC6" s="140"/>
      <c r="AD6" s="140"/>
      <c r="AE6" s="143"/>
      <c r="AF6" s="134">
        <v>1.0</v>
      </c>
    </row>
    <row r="7">
      <c r="A7" s="188">
        <v>2.0</v>
      </c>
      <c r="B7" s="189" t="s">
        <v>309</v>
      </c>
      <c r="C7" s="148" t="s">
        <v>311</v>
      </c>
      <c r="D7" s="137" t="s">
        <v>196</v>
      </c>
      <c r="E7" s="138"/>
      <c r="F7" s="187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90"/>
      <c r="X7" s="190"/>
      <c r="Y7" s="190"/>
      <c r="Z7" s="141"/>
      <c r="AA7" s="141"/>
      <c r="AB7" s="141"/>
      <c r="AC7" s="141"/>
      <c r="AD7" s="141"/>
      <c r="AE7" s="191"/>
      <c r="AF7" s="134">
        <v>1.0</v>
      </c>
    </row>
    <row r="8">
      <c r="A8" s="188">
        <v>3.0</v>
      </c>
      <c r="B8" s="189" t="s">
        <v>309</v>
      </c>
      <c r="C8" s="129" t="s">
        <v>312</v>
      </c>
      <c r="D8" s="137" t="s">
        <v>213</v>
      </c>
      <c r="E8" s="138"/>
      <c r="F8" s="187"/>
      <c r="G8" s="132"/>
      <c r="H8" s="141"/>
      <c r="I8" s="132"/>
      <c r="J8" s="141"/>
      <c r="K8" s="141"/>
      <c r="L8" s="141"/>
      <c r="M8" s="141"/>
      <c r="N8" s="132"/>
      <c r="O8" s="132"/>
      <c r="P8" s="132"/>
      <c r="Q8" s="132"/>
      <c r="R8" s="141"/>
      <c r="S8" s="141"/>
      <c r="T8" s="141"/>
      <c r="U8" s="140"/>
      <c r="V8" s="132"/>
      <c r="W8" s="132"/>
      <c r="X8" s="132"/>
      <c r="Y8" s="132"/>
      <c r="Z8" s="142"/>
      <c r="AA8" s="132"/>
      <c r="AB8" s="140"/>
      <c r="AC8" s="140"/>
      <c r="AD8" s="140"/>
      <c r="AE8" s="143"/>
      <c r="AF8" s="134"/>
    </row>
    <row r="9">
      <c r="A9" s="188">
        <v>4.0</v>
      </c>
      <c r="B9" s="189" t="s">
        <v>309</v>
      </c>
      <c r="C9" s="129" t="s">
        <v>313</v>
      </c>
      <c r="D9" s="137" t="s">
        <v>213</v>
      </c>
      <c r="E9" s="138"/>
      <c r="F9" s="139"/>
      <c r="G9" s="140"/>
      <c r="H9" s="132"/>
      <c r="I9" s="140"/>
      <c r="J9" s="132"/>
      <c r="K9" s="132"/>
      <c r="L9" s="132"/>
      <c r="M9" s="132"/>
      <c r="N9" s="140"/>
      <c r="O9" s="140"/>
      <c r="P9" s="140"/>
      <c r="Q9" s="132"/>
      <c r="R9" s="140"/>
      <c r="S9" s="142"/>
      <c r="T9" s="140"/>
      <c r="U9" s="140"/>
      <c r="V9" s="140"/>
      <c r="W9" s="132"/>
      <c r="X9" s="132"/>
      <c r="Y9" s="132"/>
      <c r="Z9" s="140"/>
      <c r="AA9" s="140"/>
      <c r="AB9" s="140"/>
      <c r="AC9" s="140"/>
      <c r="AD9" s="140"/>
      <c r="AE9" s="143"/>
      <c r="AF9" s="134"/>
    </row>
    <row r="10">
      <c r="A10" s="188">
        <v>5.0</v>
      </c>
      <c r="B10" s="189" t="s">
        <v>309</v>
      </c>
      <c r="C10" s="129" t="s">
        <v>314</v>
      </c>
      <c r="D10" s="137" t="s">
        <v>201</v>
      </c>
      <c r="E10" s="138"/>
      <c r="F10" s="187"/>
      <c r="G10" s="140"/>
      <c r="H10" s="132"/>
      <c r="I10" s="132"/>
      <c r="J10" s="132"/>
      <c r="K10" s="141"/>
      <c r="L10" s="141"/>
      <c r="M10" s="132"/>
      <c r="N10" s="132"/>
      <c r="O10" s="132"/>
      <c r="P10" s="132"/>
      <c r="Q10" s="132"/>
      <c r="R10" s="132"/>
      <c r="S10" s="132"/>
      <c r="T10" s="132"/>
      <c r="U10" s="140"/>
      <c r="V10" s="132"/>
      <c r="W10" s="141"/>
      <c r="X10" s="141"/>
      <c r="Y10" s="132"/>
      <c r="Z10" s="132"/>
      <c r="AA10" s="132"/>
      <c r="AB10" s="132"/>
      <c r="AC10" s="140"/>
      <c r="AD10" s="140"/>
      <c r="AE10" s="143"/>
      <c r="AF10" s="134">
        <v>1.0</v>
      </c>
    </row>
    <row r="11">
      <c r="A11" s="188">
        <v>6.0</v>
      </c>
      <c r="B11" s="189" t="s">
        <v>309</v>
      </c>
      <c r="C11" s="129" t="s">
        <v>315</v>
      </c>
      <c r="D11" s="157" t="s">
        <v>273</v>
      </c>
      <c r="E11" s="138"/>
      <c r="F11" s="139"/>
      <c r="G11" s="140"/>
      <c r="H11" s="132"/>
      <c r="I11" s="132"/>
      <c r="J11" s="132"/>
      <c r="K11" s="132"/>
      <c r="L11" s="132"/>
      <c r="M11" s="132"/>
      <c r="N11" s="141"/>
      <c r="O11" s="132"/>
      <c r="P11" s="132"/>
      <c r="Q11" s="132"/>
      <c r="R11" s="132"/>
      <c r="S11" s="132"/>
      <c r="T11" s="140"/>
      <c r="U11" s="140"/>
      <c r="V11" s="140"/>
      <c r="W11" s="132"/>
      <c r="X11" s="132"/>
      <c r="Y11" s="141"/>
      <c r="Z11" s="140"/>
      <c r="AA11" s="140"/>
      <c r="AB11" s="140"/>
      <c r="AC11" s="140"/>
      <c r="AD11" s="140"/>
      <c r="AE11" s="143"/>
      <c r="AF11" s="134">
        <v>1.0</v>
      </c>
    </row>
    <row r="12">
      <c r="A12" s="188">
        <v>7.0</v>
      </c>
      <c r="B12" s="189" t="s">
        <v>309</v>
      </c>
      <c r="C12" s="136" t="s">
        <v>316</v>
      </c>
      <c r="D12" s="137" t="s">
        <v>271</v>
      </c>
      <c r="E12" s="138"/>
      <c r="F12" s="139"/>
      <c r="G12" s="140"/>
      <c r="H12" s="140"/>
      <c r="I12" s="140"/>
      <c r="J12" s="132"/>
      <c r="K12" s="132"/>
      <c r="L12" s="132"/>
      <c r="M12" s="132"/>
      <c r="N12" s="132"/>
      <c r="O12" s="140"/>
      <c r="P12" s="140"/>
      <c r="Q12" s="132"/>
      <c r="R12" s="140"/>
      <c r="S12" s="142"/>
      <c r="T12" s="140"/>
      <c r="U12" s="140"/>
      <c r="V12" s="140"/>
      <c r="W12" s="132"/>
      <c r="X12" s="132"/>
      <c r="Y12" s="132"/>
      <c r="Z12" s="140"/>
      <c r="AA12" s="140"/>
      <c r="AB12" s="140"/>
      <c r="AC12" s="140"/>
      <c r="AD12" s="140"/>
      <c r="AE12" s="143"/>
      <c r="AF12" s="134">
        <v>1.0</v>
      </c>
    </row>
    <row r="13" ht="18.75" customHeight="1">
      <c r="A13" s="188">
        <v>8.0</v>
      </c>
      <c r="B13" s="189" t="s">
        <v>309</v>
      </c>
      <c r="C13" s="136" t="s">
        <v>317</v>
      </c>
      <c r="D13" s="137" t="s">
        <v>318</v>
      </c>
      <c r="E13" s="138"/>
      <c r="F13" s="187"/>
      <c r="G13" s="140"/>
      <c r="H13" s="132"/>
      <c r="I13" s="140"/>
      <c r="J13" s="132"/>
      <c r="K13" s="132"/>
      <c r="L13" s="132"/>
      <c r="M13" s="132"/>
      <c r="N13" s="140"/>
      <c r="O13" s="140"/>
      <c r="P13" s="140"/>
      <c r="Q13" s="132"/>
      <c r="R13" s="140"/>
      <c r="S13" s="132"/>
      <c r="T13" s="140"/>
      <c r="U13" s="140"/>
      <c r="V13" s="140"/>
      <c r="W13" s="132"/>
      <c r="X13" s="132"/>
      <c r="Y13" s="132"/>
      <c r="Z13" s="132"/>
      <c r="AA13" s="140"/>
      <c r="AB13" s="140"/>
      <c r="AC13" s="140"/>
      <c r="AD13" s="140"/>
      <c r="AE13" s="143"/>
      <c r="AF13" s="134">
        <v>1.0</v>
      </c>
    </row>
    <row r="14">
      <c r="A14" s="188">
        <v>9.0</v>
      </c>
      <c r="B14" s="189" t="s">
        <v>309</v>
      </c>
      <c r="C14" s="129" t="s">
        <v>319</v>
      </c>
      <c r="D14" s="137" t="s">
        <v>279</v>
      </c>
      <c r="E14" s="138"/>
      <c r="F14" s="187"/>
      <c r="G14" s="140"/>
      <c r="H14" s="141"/>
      <c r="I14" s="140"/>
      <c r="J14" s="132"/>
      <c r="K14" s="132"/>
      <c r="L14" s="132"/>
      <c r="M14" s="132"/>
      <c r="N14" s="132"/>
      <c r="O14" s="132"/>
      <c r="P14" s="132"/>
      <c r="Q14" s="132"/>
      <c r="R14" s="140"/>
      <c r="S14" s="132"/>
      <c r="T14" s="140"/>
      <c r="U14" s="140"/>
      <c r="V14" s="140"/>
      <c r="W14" s="132"/>
      <c r="X14" s="141"/>
      <c r="Y14" s="132"/>
      <c r="Z14" s="140"/>
      <c r="AA14" s="140"/>
      <c r="AB14" s="140"/>
      <c r="AC14" s="140"/>
      <c r="AD14" s="140"/>
      <c r="AE14" s="143"/>
      <c r="AF14" s="134">
        <v>1.0</v>
      </c>
    </row>
    <row r="15">
      <c r="A15" s="188">
        <v>10.0</v>
      </c>
      <c r="B15" s="189" t="s">
        <v>309</v>
      </c>
      <c r="C15" s="136" t="s">
        <v>320</v>
      </c>
      <c r="D15" s="137" t="s">
        <v>255</v>
      </c>
      <c r="E15" s="138"/>
      <c r="F15" s="154"/>
      <c r="G15" s="140"/>
      <c r="H15" s="142"/>
      <c r="I15" s="140"/>
      <c r="J15" s="142"/>
      <c r="K15" s="142"/>
      <c r="L15" s="142"/>
      <c r="M15" s="140"/>
      <c r="N15" s="140"/>
      <c r="O15" s="140"/>
      <c r="P15" s="140"/>
      <c r="Q15" s="142"/>
      <c r="R15" s="140"/>
      <c r="S15" s="142"/>
      <c r="T15" s="140"/>
      <c r="U15" s="140"/>
      <c r="V15" s="140"/>
      <c r="W15" s="142"/>
      <c r="X15" s="142"/>
      <c r="Y15" s="140"/>
      <c r="Z15" s="140"/>
      <c r="AA15" s="140"/>
      <c r="AB15" s="140"/>
      <c r="AC15" s="140"/>
      <c r="AD15" s="140"/>
      <c r="AE15" s="143"/>
      <c r="AF15" s="134">
        <v>1.0</v>
      </c>
    </row>
    <row r="16">
      <c r="A16" s="188">
        <v>11.0</v>
      </c>
      <c r="B16" s="189" t="s">
        <v>309</v>
      </c>
      <c r="C16" s="129" t="s">
        <v>321</v>
      </c>
      <c r="D16" s="137" t="s">
        <v>288</v>
      </c>
      <c r="E16" s="138"/>
      <c r="F16" s="187"/>
      <c r="G16" s="140"/>
      <c r="H16" s="141"/>
      <c r="I16" s="141"/>
      <c r="J16" s="132"/>
      <c r="K16" s="141"/>
      <c r="L16" s="141"/>
      <c r="M16" s="132"/>
      <c r="N16" s="141"/>
      <c r="O16" s="132"/>
      <c r="P16" s="132"/>
      <c r="Q16" s="141"/>
      <c r="R16" s="141"/>
      <c r="S16" s="132"/>
      <c r="T16" s="140"/>
      <c r="U16" s="140"/>
      <c r="V16" s="140"/>
      <c r="W16" s="141"/>
      <c r="X16" s="141"/>
      <c r="Y16" s="141"/>
      <c r="Z16" s="140"/>
      <c r="AA16" s="141"/>
      <c r="AB16" s="132"/>
      <c r="AC16" s="140"/>
      <c r="AD16" s="140"/>
      <c r="AE16" s="143"/>
      <c r="AF16" s="134">
        <v>1.0</v>
      </c>
    </row>
    <row r="17">
      <c r="A17" s="188">
        <v>12.0</v>
      </c>
      <c r="B17" s="189" t="s">
        <v>309</v>
      </c>
      <c r="C17" s="129" t="s">
        <v>322</v>
      </c>
      <c r="D17" s="137" t="s">
        <v>248</v>
      </c>
      <c r="E17" s="138"/>
      <c r="F17" s="187"/>
      <c r="G17" s="140"/>
      <c r="H17" s="141"/>
      <c r="I17" s="140"/>
      <c r="J17" s="132"/>
      <c r="K17" s="141"/>
      <c r="L17" s="141"/>
      <c r="M17" s="141"/>
      <c r="N17" s="141"/>
      <c r="O17" s="141"/>
      <c r="P17" s="132"/>
      <c r="Q17" s="141"/>
      <c r="R17" s="140"/>
      <c r="S17" s="141"/>
      <c r="T17" s="140"/>
      <c r="U17" s="140"/>
      <c r="V17" s="140"/>
      <c r="W17" s="141"/>
      <c r="X17" s="141"/>
      <c r="Y17" s="141"/>
      <c r="Z17" s="140"/>
      <c r="AA17" s="132"/>
      <c r="AB17" s="140"/>
      <c r="AC17" s="140"/>
      <c r="AD17" s="140"/>
      <c r="AE17" s="143"/>
      <c r="AF17" s="134">
        <v>1.0</v>
      </c>
    </row>
    <row r="18">
      <c r="A18" s="188">
        <v>13.0</v>
      </c>
      <c r="B18" s="189" t="s">
        <v>309</v>
      </c>
      <c r="C18" s="129" t="s">
        <v>323</v>
      </c>
      <c r="D18" s="137" t="s">
        <v>255</v>
      </c>
      <c r="E18" s="138"/>
      <c r="F18" s="187"/>
      <c r="G18" s="140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70"/>
      <c r="S18" s="190"/>
      <c r="T18" s="190"/>
      <c r="U18" s="170"/>
      <c r="V18" s="170"/>
      <c r="W18" s="190"/>
      <c r="X18" s="190"/>
      <c r="Y18" s="170"/>
      <c r="Z18" s="170"/>
      <c r="AA18" s="132"/>
      <c r="AB18" s="190"/>
      <c r="AC18" s="192"/>
      <c r="AD18" s="192"/>
      <c r="AE18" s="143"/>
      <c r="AF18" s="134">
        <v>1.0</v>
      </c>
    </row>
    <row r="19">
      <c r="A19" s="188">
        <v>14.0</v>
      </c>
      <c r="B19" s="189" t="s">
        <v>309</v>
      </c>
      <c r="C19" s="129" t="s">
        <v>324</v>
      </c>
      <c r="D19" s="137" t="s">
        <v>211</v>
      </c>
      <c r="E19" s="166" t="s">
        <v>183</v>
      </c>
      <c r="F19" s="139"/>
      <c r="G19" s="140"/>
      <c r="H19" s="132"/>
      <c r="I19" s="140"/>
      <c r="J19" s="170"/>
      <c r="K19" s="170"/>
      <c r="L19" s="170"/>
      <c r="M19" s="132"/>
      <c r="N19" s="193"/>
      <c r="O19" s="140"/>
      <c r="P19" s="192"/>
      <c r="Q19" s="132"/>
      <c r="R19" s="192"/>
      <c r="S19" s="193"/>
      <c r="T19" s="140"/>
      <c r="U19" s="140"/>
      <c r="V19" s="140"/>
      <c r="W19" s="170"/>
      <c r="X19" s="170"/>
      <c r="Y19" s="170"/>
      <c r="Z19" s="140"/>
      <c r="AA19" s="140"/>
      <c r="AB19" s="140"/>
      <c r="AC19" s="140"/>
      <c r="AD19" s="140"/>
      <c r="AE19" s="143"/>
      <c r="AF19" s="134">
        <v>1.0</v>
      </c>
    </row>
    <row r="20">
      <c r="A20" s="188">
        <v>15.0</v>
      </c>
      <c r="B20" s="189" t="s">
        <v>309</v>
      </c>
      <c r="C20" s="129" t="s">
        <v>325</v>
      </c>
      <c r="D20" s="137" t="s">
        <v>196</v>
      </c>
      <c r="E20" s="138"/>
      <c r="F20" s="139"/>
      <c r="G20" s="140"/>
      <c r="H20" s="132"/>
      <c r="I20" s="140"/>
      <c r="J20" s="132"/>
      <c r="K20" s="132"/>
      <c r="L20" s="132"/>
      <c r="M20" s="132"/>
      <c r="N20" s="132"/>
      <c r="O20" s="140"/>
      <c r="P20" s="140"/>
      <c r="Q20" s="132"/>
      <c r="R20" s="140"/>
      <c r="S20" s="142"/>
      <c r="T20" s="140"/>
      <c r="U20" s="140"/>
      <c r="V20" s="140"/>
      <c r="W20" s="132"/>
      <c r="X20" s="132"/>
      <c r="Y20" s="132"/>
      <c r="Z20" s="132"/>
      <c r="AA20" s="140"/>
      <c r="AB20" s="140"/>
      <c r="AC20" s="140"/>
      <c r="AD20" s="140"/>
      <c r="AE20" s="143"/>
      <c r="AF20" s="134">
        <v>1.0</v>
      </c>
    </row>
    <row r="21">
      <c r="A21" s="188">
        <v>16.0</v>
      </c>
      <c r="B21" s="189" t="s">
        <v>309</v>
      </c>
      <c r="C21" s="129" t="s">
        <v>326</v>
      </c>
      <c r="D21" s="137" t="s">
        <v>288</v>
      </c>
      <c r="E21" s="138"/>
      <c r="F21" s="187"/>
      <c r="G21" s="132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141"/>
      <c r="Y21" s="141"/>
      <c r="Z21" s="141"/>
      <c r="AA21" s="141"/>
      <c r="AB21" s="140"/>
      <c r="AC21" s="140"/>
      <c r="AD21" s="140"/>
      <c r="AE21" s="143"/>
      <c r="AF21" s="134">
        <v>1.0</v>
      </c>
    </row>
    <row r="22">
      <c r="A22" s="188">
        <v>17.0</v>
      </c>
      <c r="B22" s="189" t="s">
        <v>309</v>
      </c>
      <c r="C22" s="129" t="s">
        <v>327</v>
      </c>
      <c r="D22" s="137" t="s">
        <v>279</v>
      </c>
      <c r="E22" s="138"/>
      <c r="F22" s="139"/>
      <c r="G22" s="140"/>
      <c r="H22" s="132"/>
      <c r="I22" s="140"/>
      <c r="J22" s="132"/>
      <c r="K22" s="132"/>
      <c r="L22" s="132"/>
      <c r="M22" s="132"/>
      <c r="N22" s="140"/>
      <c r="O22" s="140"/>
      <c r="P22" s="140"/>
      <c r="Q22" s="132"/>
      <c r="R22" s="140"/>
      <c r="S22" s="142"/>
      <c r="T22" s="140"/>
      <c r="U22" s="140"/>
      <c r="V22" s="140"/>
      <c r="W22" s="132"/>
      <c r="X22" s="132"/>
      <c r="Y22" s="132"/>
      <c r="Z22" s="140"/>
      <c r="AA22" s="140"/>
      <c r="AB22" s="140"/>
      <c r="AC22" s="140"/>
      <c r="AD22" s="140"/>
      <c r="AE22" s="143"/>
      <c r="AF22" s="134">
        <v>1.0</v>
      </c>
    </row>
    <row r="23">
      <c r="A23" s="188">
        <v>18.0</v>
      </c>
      <c r="B23" s="189" t="s">
        <v>309</v>
      </c>
      <c r="C23" s="129" t="s">
        <v>328</v>
      </c>
      <c r="D23" s="137" t="s">
        <v>223</v>
      </c>
      <c r="E23" s="138"/>
      <c r="F23" s="139"/>
      <c r="G23" s="140"/>
      <c r="H23" s="132"/>
      <c r="I23" s="140"/>
      <c r="J23" s="132"/>
      <c r="K23" s="141"/>
      <c r="L23" s="141"/>
      <c r="M23" s="132"/>
      <c r="N23" s="142"/>
      <c r="O23" s="142"/>
      <c r="P23" s="142"/>
      <c r="Q23" s="132"/>
      <c r="R23" s="132"/>
      <c r="S23" s="142"/>
      <c r="T23" s="140"/>
      <c r="U23" s="140"/>
      <c r="V23" s="140"/>
      <c r="W23" s="132"/>
      <c r="X23" s="132"/>
      <c r="Y23" s="132"/>
      <c r="Z23" s="132"/>
      <c r="AA23" s="132"/>
      <c r="AB23" s="140"/>
      <c r="AC23" s="140"/>
      <c r="AD23" s="141"/>
      <c r="AE23" s="143"/>
      <c r="AF23" s="134">
        <v>1.0</v>
      </c>
    </row>
    <row r="24">
      <c r="A24" s="188">
        <v>19.0</v>
      </c>
      <c r="B24" s="189" t="s">
        <v>309</v>
      </c>
      <c r="C24" s="129" t="s">
        <v>329</v>
      </c>
      <c r="D24" s="157" t="s">
        <v>330</v>
      </c>
      <c r="E24" s="138"/>
      <c r="F24" s="187"/>
      <c r="G24" s="140"/>
      <c r="H24" s="141"/>
      <c r="I24" s="140"/>
      <c r="J24" s="132"/>
      <c r="K24" s="141"/>
      <c r="L24" s="141"/>
      <c r="M24" s="141"/>
      <c r="N24" s="132"/>
      <c r="O24" s="132"/>
      <c r="P24" s="132"/>
      <c r="Q24" s="141"/>
      <c r="R24" s="132"/>
      <c r="S24" s="141"/>
      <c r="T24" s="140"/>
      <c r="U24" s="140"/>
      <c r="V24" s="140"/>
      <c r="W24" s="141"/>
      <c r="X24" s="141"/>
      <c r="Y24" s="141"/>
      <c r="Z24" s="132"/>
      <c r="AA24" s="141"/>
      <c r="AB24" s="140"/>
      <c r="AC24" s="140"/>
      <c r="AD24" s="140"/>
      <c r="AE24" s="143"/>
      <c r="AF24" s="134">
        <v>1.0</v>
      </c>
    </row>
    <row r="25">
      <c r="A25" s="188">
        <v>20.0</v>
      </c>
      <c r="B25" s="189" t="s">
        <v>309</v>
      </c>
      <c r="C25" s="129" t="s">
        <v>331</v>
      </c>
      <c r="D25" s="137" t="s">
        <v>223</v>
      </c>
      <c r="E25" s="138"/>
      <c r="F25" s="187"/>
      <c r="G25" s="140"/>
      <c r="H25" s="132"/>
      <c r="I25" s="140"/>
      <c r="J25" s="132"/>
      <c r="K25" s="132"/>
      <c r="L25" s="132"/>
      <c r="M25" s="132"/>
      <c r="N25" s="132"/>
      <c r="O25" s="132"/>
      <c r="P25" s="132"/>
      <c r="Q25" s="132"/>
      <c r="R25" s="140"/>
      <c r="S25" s="132"/>
      <c r="T25" s="140"/>
      <c r="U25" s="140"/>
      <c r="V25" s="140"/>
      <c r="W25" s="132"/>
      <c r="X25" s="141"/>
      <c r="Y25" s="141"/>
      <c r="Z25" s="142"/>
      <c r="AA25" s="140"/>
      <c r="AB25" s="140"/>
      <c r="AC25" s="140"/>
      <c r="AD25" s="140"/>
      <c r="AE25" s="143"/>
      <c r="AF25" s="134">
        <v>1.0</v>
      </c>
    </row>
    <row r="26">
      <c r="A26" s="188">
        <v>21.0</v>
      </c>
      <c r="B26" s="189" t="s">
        <v>309</v>
      </c>
      <c r="C26" s="129" t="s">
        <v>332</v>
      </c>
      <c r="D26" s="137" t="s">
        <v>333</v>
      </c>
      <c r="E26" s="138"/>
      <c r="F26" s="187"/>
      <c r="G26" s="140"/>
      <c r="H26" s="141"/>
      <c r="I26" s="140"/>
      <c r="J26" s="132"/>
      <c r="K26" s="141"/>
      <c r="L26" s="141"/>
      <c r="M26" s="141"/>
      <c r="N26" s="132"/>
      <c r="O26" s="140"/>
      <c r="P26" s="140"/>
      <c r="Q26" s="141"/>
      <c r="R26" s="140"/>
      <c r="S26" s="142"/>
      <c r="T26" s="140"/>
      <c r="U26" s="140"/>
      <c r="V26" s="140"/>
      <c r="W26" s="141"/>
      <c r="X26" s="141"/>
      <c r="Y26" s="141"/>
      <c r="Z26" s="132"/>
      <c r="AA26" s="132"/>
      <c r="AB26" s="140"/>
      <c r="AC26" s="140"/>
      <c r="AD26" s="140"/>
      <c r="AE26" s="143"/>
      <c r="AF26" s="134">
        <v>1.0</v>
      </c>
    </row>
    <row r="27">
      <c r="A27" s="188">
        <v>22.0</v>
      </c>
      <c r="B27" s="189" t="s">
        <v>309</v>
      </c>
      <c r="C27" s="129" t="s">
        <v>334</v>
      </c>
      <c r="D27" s="137" t="s">
        <v>183</v>
      </c>
      <c r="E27" s="138"/>
      <c r="F27" s="187"/>
      <c r="G27" s="132"/>
      <c r="H27" s="141"/>
      <c r="I27" s="132"/>
      <c r="J27" s="141"/>
      <c r="K27" s="141"/>
      <c r="L27" s="141"/>
      <c r="M27" s="141"/>
      <c r="N27" s="141"/>
      <c r="O27" s="141"/>
      <c r="P27" s="141"/>
      <c r="Q27" s="132"/>
      <c r="R27" s="132"/>
      <c r="S27" s="132"/>
      <c r="T27" s="132"/>
      <c r="U27" s="132"/>
      <c r="V27" s="132"/>
      <c r="W27" s="141"/>
      <c r="X27" s="141"/>
      <c r="Y27" s="141"/>
      <c r="Z27" s="132"/>
      <c r="AA27" s="132"/>
      <c r="AB27" s="132"/>
      <c r="AC27" s="140"/>
      <c r="AD27" s="140"/>
      <c r="AE27" s="143"/>
      <c r="AF27" s="134">
        <v>1.0</v>
      </c>
    </row>
    <row r="28">
      <c r="A28" s="188">
        <v>23.0</v>
      </c>
      <c r="B28" s="189" t="s">
        <v>309</v>
      </c>
      <c r="C28" s="129" t="s">
        <v>335</v>
      </c>
      <c r="D28" s="137" t="s">
        <v>288</v>
      </c>
      <c r="E28" s="138"/>
      <c r="F28" s="139"/>
      <c r="G28" s="140"/>
      <c r="H28" s="132"/>
      <c r="I28" s="140"/>
      <c r="J28" s="132"/>
      <c r="K28" s="132"/>
      <c r="L28" s="132"/>
      <c r="M28" s="132"/>
      <c r="N28" s="140"/>
      <c r="O28" s="140"/>
      <c r="P28" s="140"/>
      <c r="Q28" s="132"/>
      <c r="R28" s="140"/>
      <c r="S28" s="142"/>
      <c r="T28" s="140"/>
      <c r="U28" s="140"/>
      <c r="V28" s="140"/>
      <c r="W28" s="132"/>
      <c r="X28" s="132"/>
      <c r="Y28" s="132"/>
      <c r="Z28" s="140"/>
      <c r="AA28" s="140"/>
      <c r="AB28" s="140"/>
      <c r="AC28" s="140"/>
      <c r="AD28" s="140"/>
      <c r="AE28" s="143"/>
      <c r="AF28" s="134">
        <v>1.0</v>
      </c>
    </row>
    <row r="29">
      <c r="A29" s="188">
        <v>24.0</v>
      </c>
      <c r="B29" s="189" t="s">
        <v>309</v>
      </c>
      <c r="C29" s="129" t="s">
        <v>336</v>
      </c>
      <c r="D29" s="137" t="s">
        <v>318</v>
      </c>
      <c r="E29" s="138"/>
      <c r="F29" s="139"/>
      <c r="G29" s="140"/>
      <c r="H29" s="132"/>
      <c r="I29" s="140"/>
      <c r="J29" s="132"/>
      <c r="K29" s="132"/>
      <c r="L29" s="132"/>
      <c r="M29" s="132"/>
      <c r="N29" s="140"/>
      <c r="O29" s="140"/>
      <c r="P29" s="140"/>
      <c r="Q29" s="132"/>
      <c r="R29" s="140"/>
      <c r="S29" s="142"/>
      <c r="T29" s="140"/>
      <c r="U29" s="140"/>
      <c r="V29" s="140"/>
      <c r="W29" s="132"/>
      <c r="X29" s="132"/>
      <c r="Y29" s="132"/>
      <c r="Z29" s="140"/>
      <c r="AA29" s="140"/>
      <c r="AB29" s="140"/>
      <c r="AC29" s="140"/>
      <c r="AD29" s="140"/>
      <c r="AE29" s="143"/>
      <c r="AF29" s="134">
        <v>1.0</v>
      </c>
    </row>
    <row r="30">
      <c r="A30" s="188">
        <v>25.0</v>
      </c>
      <c r="B30" s="189" t="s">
        <v>309</v>
      </c>
      <c r="C30" s="136" t="s">
        <v>337</v>
      </c>
      <c r="D30" s="137" t="s">
        <v>187</v>
      </c>
      <c r="E30" s="138"/>
      <c r="F30" s="156"/>
      <c r="G30" s="140"/>
      <c r="H30" s="140"/>
      <c r="I30" s="140"/>
      <c r="J30" s="142"/>
      <c r="K30" s="142"/>
      <c r="L30" s="132"/>
      <c r="M30" s="142"/>
      <c r="N30" s="140"/>
      <c r="O30" s="140"/>
      <c r="P30" s="140"/>
      <c r="Q30" s="142"/>
      <c r="R30" s="140"/>
      <c r="S30" s="142"/>
      <c r="T30" s="140"/>
      <c r="U30" s="140"/>
      <c r="V30" s="140"/>
      <c r="W30" s="140"/>
      <c r="X30" s="132"/>
      <c r="Y30" s="132"/>
      <c r="Z30" s="140"/>
      <c r="AA30" s="140"/>
      <c r="AB30" s="140"/>
      <c r="AC30" s="140"/>
      <c r="AD30" s="140"/>
      <c r="AE30" s="143"/>
      <c r="AF30" s="134">
        <v>1.0</v>
      </c>
    </row>
    <row r="31">
      <c r="A31" s="188">
        <v>26.0</v>
      </c>
      <c r="B31" s="189" t="s">
        <v>309</v>
      </c>
      <c r="C31" s="129" t="s">
        <v>338</v>
      </c>
      <c r="D31" s="137" t="s">
        <v>318</v>
      </c>
      <c r="E31" s="138"/>
      <c r="F31" s="139"/>
      <c r="G31" s="140"/>
      <c r="H31" s="132"/>
      <c r="I31" s="140"/>
      <c r="J31" s="132"/>
      <c r="K31" s="132"/>
      <c r="L31" s="132"/>
      <c r="M31" s="132"/>
      <c r="N31" s="140"/>
      <c r="O31" s="140"/>
      <c r="P31" s="140"/>
      <c r="Q31" s="132"/>
      <c r="R31" s="140"/>
      <c r="S31" s="142"/>
      <c r="T31" s="140"/>
      <c r="U31" s="140"/>
      <c r="V31" s="140"/>
      <c r="W31" s="132"/>
      <c r="X31" s="132"/>
      <c r="Y31" s="132"/>
      <c r="Z31" s="140"/>
      <c r="AA31" s="140"/>
      <c r="AB31" s="140"/>
      <c r="AC31" s="140"/>
      <c r="AD31" s="140"/>
      <c r="AE31" s="143"/>
      <c r="AF31" s="134">
        <v>1.0</v>
      </c>
    </row>
    <row r="32">
      <c r="A32" s="188">
        <v>27.0</v>
      </c>
      <c r="B32" s="189" t="s">
        <v>309</v>
      </c>
      <c r="C32" s="129" t="s">
        <v>339</v>
      </c>
      <c r="D32" s="137" t="s">
        <v>279</v>
      </c>
      <c r="E32" s="138"/>
      <c r="F32" s="139"/>
      <c r="G32" s="140"/>
      <c r="H32" s="132"/>
      <c r="I32" s="132"/>
      <c r="J32" s="132"/>
      <c r="K32" s="141"/>
      <c r="L32" s="141"/>
      <c r="M32" s="132"/>
      <c r="N32" s="132"/>
      <c r="O32" s="132"/>
      <c r="P32" s="132"/>
      <c r="Q32" s="132"/>
      <c r="R32" s="140"/>
      <c r="S32" s="142"/>
      <c r="T32" s="140"/>
      <c r="U32" s="140"/>
      <c r="V32" s="140"/>
      <c r="W32" s="132"/>
      <c r="X32" s="132"/>
      <c r="Y32" s="132"/>
      <c r="Z32" s="132"/>
      <c r="AA32" s="132"/>
      <c r="AB32" s="140"/>
      <c r="AC32" s="140"/>
      <c r="AD32" s="140"/>
      <c r="AE32" s="143"/>
      <c r="AF32" s="158">
        <v>0.0</v>
      </c>
    </row>
    <row r="33">
      <c r="A33" s="188">
        <v>28.0</v>
      </c>
      <c r="B33" s="189" t="s">
        <v>309</v>
      </c>
      <c r="C33" s="129" t="s">
        <v>340</v>
      </c>
      <c r="D33" s="137" t="s">
        <v>341</v>
      </c>
      <c r="E33" s="138"/>
      <c r="F33" s="139"/>
      <c r="G33" s="140"/>
      <c r="H33" s="132"/>
      <c r="I33" s="140"/>
      <c r="J33" s="132"/>
      <c r="K33" s="132"/>
      <c r="L33" s="132"/>
      <c r="M33" s="132"/>
      <c r="N33" s="140"/>
      <c r="O33" s="140"/>
      <c r="P33" s="140"/>
      <c r="Q33" s="132"/>
      <c r="R33" s="140"/>
      <c r="S33" s="142"/>
      <c r="T33" s="140"/>
      <c r="U33" s="140"/>
      <c r="V33" s="140"/>
      <c r="W33" s="132"/>
      <c r="X33" s="132"/>
      <c r="Y33" s="132"/>
      <c r="Z33" s="140"/>
      <c r="AA33" s="140"/>
      <c r="AB33" s="140"/>
      <c r="AC33" s="140"/>
      <c r="AD33" s="140"/>
      <c r="AE33" s="143"/>
      <c r="AF33" s="134">
        <v>1.0</v>
      </c>
    </row>
    <row r="34">
      <c r="E34" s="194"/>
      <c r="F34" s="195"/>
      <c r="G34" s="195"/>
      <c r="H34" s="195"/>
      <c r="I34" s="195"/>
      <c r="J34" s="195"/>
      <c r="K34" s="195"/>
      <c r="L34" s="195"/>
      <c r="M34" s="195"/>
      <c r="N34" s="195"/>
      <c r="O34" s="195"/>
      <c r="P34" s="195"/>
      <c r="Q34" s="195"/>
      <c r="R34" s="195"/>
      <c r="S34" s="195"/>
      <c r="T34" s="195"/>
      <c r="U34" s="195"/>
      <c r="V34" s="195"/>
      <c r="W34" s="195"/>
      <c r="X34" s="195"/>
      <c r="Y34" s="195"/>
      <c r="Z34" s="195"/>
      <c r="AA34" s="195"/>
      <c r="AB34" s="195"/>
      <c r="AC34" s="195"/>
      <c r="AD34" s="195"/>
      <c r="AE34" s="196"/>
      <c r="AF34" s="134"/>
    </row>
    <row r="35">
      <c r="E35" s="194"/>
      <c r="F35" s="195"/>
      <c r="G35" s="195"/>
      <c r="H35" s="195"/>
      <c r="I35" s="195"/>
      <c r="J35" s="195"/>
      <c r="K35" s="195"/>
      <c r="L35" s="195"/>
      <c r="M35" s="195"/>
      <c r="N35" s="195"/>
      <c r="O35" s="195"/>
      <c r="P35" s="195"/>
      <c r="Q35" s="195"/>
      <c r="R35" s="195"/>
      <c r="S35" s="195"/>
      <c r="T35" s="195"/>
      <c r="U35" s="195"/>
      <c r="V35" s="195"/>
      <c r="W35" s="195"/>
      <c r="X35" s="195"/>
      <c r="Y35" s="195"/>
      <c r="Z35" s="195"/>
      <c r="AA35" s="195"/>
      <c r="AB35" s="195"/>
      <c r="AC35" s="195"/>
      <c r="AD35" s="195"/>
      <c r="AE35" s="196"/>
      <c r="AF35" s="134"/>
    </row>
    <row r="36">
      <c r="E36" s="194"/>
      <c r="F36" s="195"/>
      <c r="G36" s="195"/>
      <c r="H36" s="195"/>
      <c r="I36" s="195"/>
      <c r="J36" s="195"/>
      <c r="K36" s="195"/>
      <c r="L36" s="195"/>
      <c r="M36" s="195"/>
      <c r="N36" s="195"/>
      <c r="O36" s="195"/>
      <c r="P36" s="195"/>
      <c r="Q36" s="195"/>
      <c r="R36" s="195"/>
      <c r="S36" s="195"/>
      <c r="T36" s="195"/>
      <c r="U36" s="195"/>
      <c r="V36" s="195"/>
      <c r="W36" s="195"/>
      <c r="X36" s="195"/>
      <c r="Y36" s="195"/>
      <c r="Z36" s="195"/>
      <c r="AA36" s="195"/>
      <c r="AB36" s="195"/>
      <c r="AC36" s="195"/>
      <c r="AD36" s="195"/>
      <c r="AE36" s="196"/>
      <c r="AF36" s="134"/>
    </row>
    <row r="37">
      <c r="E37" s="194"/>
      <c r="F37" s="195"/>
      <c r="G37" s="195"/>
      <c r="H37" s="195"/>
      <c r="I37" s="195"/>
      <c r="J37" s="195"/>
      <c r="K37" s="195"/>
      <c r="L37" s="195"/>
      <c r="M37" s="195"/>
      <c r="N37" s="195"/>
      <c r="O37" s="195"/>
      <c r="P37" s="195"/>
      <c r="Q37" s="195"/>
      <c r="R37" s="195"/>
      <c r="S37" s="195"/>
      <c r="T37" s="195"/>
      <c r="U37" s="195"/>
      <c r="V37" s="195"/>
      <c r="W37" s="195"/>
      <c r="X37" s="195"/>
      <c r="Y37" s="195"/>
      <c r="Z37" s="195"/>
      <c r="AA37" s="195"/>
      <c r="AB37" s="195"/>
      <c r="AC37" s="195"/>
      <c r="AD37" s="195"/>
      <c r="AE37" s="196"/>
      <c r="AF37" s="134"/>
    </row>
  </sheetData>
  <mergeCells count="9">
    <mergeCell ref="W4:AB4"/>
    <mergeCell ref="AE4:AE5"/>
    <mergeCell ref="G2:P2"/>
    <mergeCell ref="R2:AA2"/>
    <mergeCell ref="A4:A5"/>
    <mergeCell ref="B4:B5"/>
    <mergeCell ref="C4:C5"/>
    <mergeCell ref="D4:E4"/>
    <mergeCell ref="F4:V4"/>
  </mergeCells>
  <conditionalFormatting sqref="AE6:AE37">
    <cfRule type="cellIs" dxfId="0" priority="1" operator="greaterThanOrEqual">
      <formula>(F6+H6+J6+K6+L6+M6+W6+X6+Z6+AA6+AB6+АС4) &gt;=23</formula>
    </cfRule>
  </conditionalFormatting>
  <conditionalFormatting sqref="C4:C5">
    <cfRule type="expression" dxfId="0" priority="2">
      <formula>(#REF!+#REF!+#REF!+#REF!+#REF!+#REF!+#REF!+#REF!+#REF!) &gt;=9</formula>
    </cfRule>
  </conditionalFormatting>
  <conditionalFormatting sqref="AE6:AF37">
    <cfRule type="cellIs" dxfId="1" priority="3" operator="equal">
      <formula>"""допущен"""</formula>
    </cfRule>
  </conditionalFormatting>
  <conditionalFormatting sqref="AE6:AF37">
    <cfRule type="cellIs" dxfId="0" priority="4" operator="greaterThanOrEqual">
      <formula>(G6+I6+K6+L6+M6+N6+X6+Y6+AA6+AB6+AC6+АС4) &gt;=23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4.13"/>
    <col customWidth="1" min="2" max="2" width="7.63"/>
    <col customWidth="1" min="3" max="3" width="31.75"/>
    <col customWidth="1" min="4" max="5" width="12.0"/>
    <col customWidth="1" min="6" max="28" width="5.75"/>
    <col customWidth="1" min="29" max="30" width="6.0"/>
    <col customWidth="1" min="31" max="31" width="11.13"/>
    <col customWidth="1" hidden="1" min="32" max="32" width="11.13"/>
  </cols>
  <sheetData>
    <row r="1">
      <c r="A1" s="95"/>
      <c r="B1" s="95"/>
      <c r="C1" s="95"/>
      <c r="D1" s="95"/>
      <c r="E1" s="95"/>
      <c r="F1" s="95"/>
      <c r="G1" s="96"/>
      <c r="H1" s="96"/>
      <c r="I1" s="96"/>
      <c r="J1" s="96"/>
      <c r="K1" s="96"/>
      <c r="L1" s="96"/>
      <c r="M1" s="96"/>
      <c r="N1" s="96"/>
      <c r="O1" s="96"/>
      <c r="P1" s="96"/>
      <c r="Q1" s="95"/>
      <c r="R1" s="96"/>
      <c r="S1" s="96"/>
      <c r="T1" s="96"/>
      <c r="U1" s="96"/>
      <c r="V1" s="96"/>
      <c r="W1" s="96"/>
      <c r="X1" s="96"/>
      <c r="Y1" s="96"/>
      <c r="Z1" s="96"/>
      <c r="AA1" s="96"/>
      <c r="AB1" s="95"/>
      <c r="AC1" s="95"/>
      <c r="AD1" s="95"/>
      <c r="AE1" s="95"/>
      <c r="AF1" s="97"/>
    </row>
    <row r="2">
      <c r="A2" s="95"/>
      <c r="B2" s="95"/>
      <c r="C2" s="95"/>
      <c r="D2" s="95"/>
      <c r="E2" s="95"/>
      <c r="F2" s="98"/>
      <c r="G2" s="99" t="s">
        <v>144</v>
      </c>
      <c r="H2" s="100"/>
      <c r="I2" s="100"/>
      <c r="J2" s="100"/>
      <c r="K2" s="100"/>
      <c r="L2" s="100"/>
      <c r="M2" s="100"/>
      <c r="N2" s="100"/>
      <c r="O2" s="100"/>
      <c r="P2" s="100"/>
      <c r="Q2" s="101"/>
      <c r="R2" s="99" t="s">
        <v>145</v>
      </c>
      <c r="S2" s="100"/>
      <c r="T2" s="100"/>
      <c r="U2" s="100"/>
      <c r="V2" s="100"/>
      <c r="W2" s="100"/>
      <c r="X2" s="100"/>
      <c r="Y2" s="100"/>
      <c r="Z2" s="100"/>
      <c r="AA2" s="102"/>
      <c r="AB2" s="95"/>
      <c r="AC2" s="95"/>
      <c r="AD2" s="95"/>
      <c r="AE2" s="95"/>
      <c r="AF2" s="97"/>
    </row>
    <row r="3">
      <c r="A3" s="95"/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7"/>
    </row>
    <row r="4">
      <c r="A4" s="103" t="s">
        <v>146</v>
      </c>
      <c r="B4" s="104" t="s">
        <v>147</v>
      </c>
      <c r="C4" s="105" t="s">
        <v>148</v>
      </c>
      <c r="D4" s="106" t="s">
        <v>149</v>
      </c>
      <c r="E4" s="107"/>
      <c r="F4" s="108" t="s">
        <v>150</v>
      </c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7"/>
      <c r="W4" s="110" t="s">
        <v>151</v>
      </c>
      <c r="X4" s="111"/>
      <c r="Y4" s="111"/>
      <c r="Z4" s="111"/>
      <c r="AA4" s="111"/>
      <c r="AB4" s="112"/>
      <c r="AC4" s="113"/>
      <c r="AD4" s="113"/>
      <c r="AE4" s="114" t="s">
        <v>152</v>
      </c>
      <c r="AF4" s="115">
        <f>SUM(AF6:AF35)</f>
        <v>27</v>
      </c>
    </row>
    <row r="5">
      <c r="A5" s="116"/>
      <c r="B5" s="176"/>
      <c r="C5" s="118"/>
      <c r="D5" s="178" t="s">
        <v>153</v>
      </c>
      <c r="E5" s="179" t="s">
        <v>154</v>
      </c>
      <c r="F5" s="121" t="s">
        <v>155</v>
      </c>
      <c r="G5" s="180" t="s">
        <v>18</v>
      </c>
      <c r="H5" s="181" t="s">
        <v>156</v>
      </c>
      <c r="I5" s="180" t="s">
        <v>157</v>
      </c>
      <c r="J5" s="181" t="s">
        <v>158</v>
      </c>
      <c r="K5" s="181" t="s">
        <v>159</v>
      </c>
      <c r="L5" s="181" t="s">
        <v>160</v>
      </c>
      <c r="M5" s="181" t="s">
        <v>161</v>
      </c>
      <c r="N5" s="180" t="s">
        <v>162</v>
      </c>
      <c r="O5" s="180" t="s">
        <v>163</v>
      </c>
      <c r="P5" s="180" t="s">
        <v>164</v>
      </c>
      <c r="Q5" s="182" t="s">
        <v>165</v>
      </c>
      <c r="R5" s="180" t="s">
        <v>342</v>
      </c>
      <c r="S5" s="181" t="s">
        <v>167</v>
      </c>
      <c r="T5" s="122" t="s">
        <v>168</v>
      </c>
      <c r="U5" s="122" t="s">
        <v>169</v>
      </c>
      <c r="V5" s="122" t="s">
        <v>170</v>
      </c>
      <c r="W5" s="181" t="s">
        <v>171</v>
      </c>
      <c r="X5" s="181" t="s">
        <v>172</v>
      </c>
      <c r="Y5" s="181" t="s">
        <v>173</v>
      </c>
      <c r="Z5" s="183" t="s">
        <v>174</v>
      </c>
      <c r="AA5" s="183" t="s">
        <v>175</v>
      </c>
      <c r="AB5" s="183" t="s">
        <v>176</v>
      </c>
      <c r="AC5" s="184" t="s">
        <v>177</v>
      </c>
      <c r="AD5" s="126" t="s">
        <v>178</v>
      </c>
      <c r="AE5" s="118"/>
      <c r="AF5" s="115" t="s">
        <v>179</v>
      </c>
    </row>
    <row r="6">
      <c r="A6" s="185">
        <v>1.0</v>
      </c>
      <c r="B6" s="197" t="s">
        <v>343</v>
      </c>
      <c r="C6" s="198" t="s">
        <v>344</v>
      </c>
      <c r="D6" s="130" t="s">
        <v>333</v>
      </c>
      <c r="E6" s="138"/>
      <c r="F6" s="199"/>
      <c r="G6" s="142"/>
      <c r="H6" s="199"/>
      <c r="I6" s="142"/>
      <c r="J6" s="200"/>
      <c r="K6" s="199"/>
      <c r="L6" s="199"/>
      <c r="M6" s="142"/>
      <c r="N6" s="142"/>
      <c r="O6" s="142"/>
      <c r="P6" s="142"/>
      <c r="Q6" s="142"/>
      <c r="R6" s="140"/>
      <c r="S6" s="140"/>
      <c r="T6" s="140"/>
      <c r="U6" s="140"/>
      <c r="V6" s="140"/>
      <c r="W6" s="199"/>
      <c r="X6" s="199"/>
      <c r="Y6" s="201"/>
      <c r="Z6" s="202"/>
      <c r="AA6" s="142"/>
      <c r="AB6" s="142"/>
      <c r="AC6" s="140"/>
      <c r="AD6" s="140"/>
      <c r="AE6" s="143"/>
      <c r="AF6" s="134">
        <v>1.0</v>
      </c>
    </row>
    <row r="7">
      <c r="A7" s="188">
        <v>2.0</v>
      </c>
      <c r="B7" s="203" t="s">
        <v>345</v>
      </c>
      <c r="C7" s="198" t="s">
        <v>346</v>
      </c>
      <c r="D7" s="130" t="s">
        <v>217</v>
      </c>
      <c r="E7" s="204"/>
      <c r="F7" s="142"/>
      <c r="G7" s="205"/>
      <c r="H7" s="142"/>
      <c r="I7" s="140"/>
      <c r="J7" s="142"/>
      <c r="K7" s="142"/>
      <c r="L7" s="142"/>
      <c r="M7" s="142"/>
      <c r="N7" s="140"/>
      <c r="O7" s="140"/>
      <c r="P7" s="140"/>
      <c r="Q7" s="140"/>
      <c r="R7" s="140"/>
      <c r="S7" s="140"/>
      <c r="T7" s="140"/>
      <c r="U7" s="140"/>
      <c r="V7" s="140"/>
      <c r="W7" s="142"/>
      <c r="X7" s="142"/>
      <c r="Y7" s="206"/>
      <c r="Z7" s="140"/>
      <c r="AA7" s="140"/>
      <c r="AB7" s="140"/>
      <c r="AC7" s="140"/>
      <c r="AD7" s="140"/>
      <c r="AE7" s="143"/>
      <c r="AF7" s="134">
        <v>1.0</v>
      </c>
    </row>
    <row r="8">
      <c r="A8" s="188">
        <v>3.0</v>
      </c>
      <c r="B8" s="203" t="s">
        <v>345</v>
      </c>
      <c r="C8" s="198" t="s">
        <v>347</v>
      </c>
      <c r="D8" s="130" t="s">
        <v>217</v>
      </c>
      <c r="E8" s="204"/>
      <c r="F8" s="200"/>
      <c r="G8" s="140"/>
      <c r="H8" s="200"/>
      <c r="I8" s="140"/>
      <c r="J8" s="200"/>
      <c r="K8" s="200"/>
      <c r="L8" s="200"/>
      <c r="M8" s="200"/>
      <c r="N8" s="140"/>
      <c r="O8" s="140"/>
      <c r="P8" s="140"/>
      <c r="Q8" s="200"/>
      <c r="R8" s="140"/>
      <c r="S8" s="200"/>
      <c r="T8" s="140"/>
      <c r="U8" s="140"/>
      <c r="V8" s="140"/>
      <c r="W8" s="201"/>
      <c r="X8" s="201"/>
      <c r="Y8" s="201"/>
      <c r="Z8" s="140"/>
      <c r="AA8" s="140"/>
      <c r="AB8" s="140"/>
      <c r="AC8" s="140"/>
      <c r="AD8" s="140"/>
      <c r="AE8" s="143"/>
      <c r="AF8" s="134"/>
    </row>
    <row r="9">
      <c r="A9" s="188">
        <v>4.0</v>
      </c>
      <c r="B9" s="203" t="s">
        <v>343</v>
      </c>
      <c r="C9" s="198" t="s">
        <v>348</v>
      </c>
      <c r="D9" s="130" t="s">
        <v>279</v>
      </c>
      <c r="E9" s="138"/>
      <c r="F9" s="199"/>
      <c r="G9" s="140"/>
      <c r="H9" s="142"/>
      <c r="I9" s="140"/>
      <c r="J9" s="199" t="s">
        <v>185</v>
      </c>
      <c r="K9" s="199"/>
      <c r="L9" s="200">
        <v>18.0</v>
      </c>
      <c r="M9" s="199">
        <v>23.26</v>
      </c>
      <c r="N9" s="142"/>
      <c r="O9" s="142"/>
      <c r="P9" s="142"/>
      <c r="Q9" s="142"/>
      <c r="R9" s="199" t="s">
        <v>185</v>
      </c>
      <c r="S9" s="142"/>
      <c r="T9" s="140"/>
      <c r="U9" s="140"/>
      <c r="V9" s="140"/>
      <c r="W9" s="201"/>
      <c r="X9" s="199"/>
      <c r="Y9" s="142"/>
      <c r="Z9" s="142"/>
      <c r="AA9" s="140"/>
      <c r="AB9" s="140"/>
      <c r="AC9" s="140"/>
      <c r="AD9" s="140"/>
      <c r="AE9" s="143"/>
      <c r="AF9" s="134"/>
    </row>
    <row r="10">
      <c r="A10" s="188">
        <v>5.0</v>
      </c>
      <c r="B10" s="203" t="s">
        <v>343</v>
      </c>
      <c r="C10" s="198" t="s">
        <v>349</v>
      </c>
      <c r="D10" s="130" t="s">
        <v>273</v>
      </c>
      <c r="E10" s="138"/>
      <c r="F10" s="207"/>
      <c r="G10" s="140"/>
      <c r="H10" s="200"/>
      <c r="I10" s="140"/>
      <c r="J10" s="200"/>
      <c r="K10" s="200"/>
      <c r="L10" s="200"/>
      <c r="M10" s="200"/>
      <c r="N10" s="140"/>
      <c r="O10" s="140"/>
      <c r="P10" s="140"/>
      <c r="Q10" s="200" t="s">
        <v>350</v>
      </c>
      <c r="R10" s="140"/>
      <c r="S10" s="200"/>
      <c r="T10" s="140"/>
      <c r="U10" s="140"/>
      <c r="V10" s="140"/>
      <c r="W10" s="201"/>
      <c r="X10" s="201"/>
      <c r="Y10" s="208"/>
      <c r="Z10" s="140"/>
      <c r="AA10" s="140"/>
      <c r="AB10" s="140"/>
      <c r="AC10" s="140"/>
      <c r="AD10" s="140"/>
      <c r="AE10" s="143"/>
      <c r="AF10" s="134">
        <v>1.0</v>
      </c>
    </row>
    <row r="11">
      <c r="A11" s="188">
        <v>6.0</v>
      </c>
      <c r="B11" s="203" t="s">
        <v>345</v>
      </c>
      <c r="C11" s="198" t="s">
        <v>351</v>
      </c>
      <c r="D11" s="130" t="s">
        <v>201</v>
      </c>
      <c r="E11" s="204"/>
      <c r="F11" s="200"/>
      <c r="G11" s="140"/>
      <c r="H11" s="200"/>
      <c r="I11" s="140"/>
      <c r="J11" s="200"/>
      <c r="K11" s="200"/>
      <c r="L11" s="200"/>
      <c r="M11" s="200"/>
      <c r="N11" s="209"/>
      <c r="O11" s="140"/>
      <c r="P11" s="140"/>
      <c r="Q11" s="200"/>
      <c r="R11" s="140"/>
      <c r="S11" s="200"/>
      <c r="T11" s="140"/>
      <c r="U11" s="140"/>
      <c r="V11" s="140"/>
      <c r="W11" s="200"/>
      <c r="X11" s="200"/>
      <c r="Y11" s="208"/>
      <c r="Z11" s="140"/>
      <c r="AA11" s="140"/>
      <c r="AB11" s="140"/>
      <c r="AC11" s="140"/>
      <c r="AD11" s="140"/>
      <c r="AE11" s="143"/>
      <c r="AF11" s="134">
        <v>1.0</v>
      </c>
    </row>
    <row r="12">
      <c r="A12" s="188">
        <v>7.0</v>
      </c>
      <c r="B12" s="203" t="s">
        <v>343</v>
      </c>
      <c r="C12" s="198" t="s">
        <v>352</v>
      </c>
      <c r="D12" s="130" t="s">
        <v>273</v>
      </c>
      <c r="E12" s="138"/>
      <c r="F12" s="207" t="s">
        <v>353</v>
      </c>
      <c r="G12" s="140"/>
      <c r="H12" s="142"/>
      <c r="I12" s="142"/>
      <c r="J12" s="199" t="s">
        <v>185</v>
      </c>
      <c r="K12" s="200">
        <v>9.0</v>
      </c>
      <c r="L12" s="200">
        <v>21.0</v>
      </c>
      <c r="M12" s="142"/>
      <c r="N12" s="142"/>
      <c r="O12" s="142"/>
      <c r="P12" s="142"/>
      <c r="Q12" s="142"/>
      <c r="R12" s="199" t="s">
        <v>185</v>
      </c>
      <c r="S12" s="142"/>
      <c r="T12" s="142"/>
      <c r="U12" s="140"/>
      <c r="V12" s="142"/>
      <c r="W12" s="200"/>
      <c r="X12" s="200"/>
      <c r="Y12" s="200"/>
      <c r="Z12" s="142"/>
      <c r="AA12" s="140"/>
      <c r="AB12" s="140"/>
      <c r="AC12" s="140"/>
      <c r="AD12" s="140"/>
      <c r="AE12" s="143"/>
      <c r="AF12" s="134">
        <v>1.0</v>
      </c>
    </row>
    <row r="13" ht="18.75" customHeight="1">
      <c r="A13" s="188">
        <v>8.0</v>
      </c>
      <c r="B13" s="203" t="s">
        <v>343</v>
      </c>
      <c r="C13" s="198" t="s">
        <v>354</v>
      </c>
      <c r="D13" s="145" t="s">
        <v>288</v>
      </c>
      <c r="E13" s="138"/>
      <c r="F13" s="199"/>
      <c r="G13" s="140"/>
      <c r="H13" s="199"/>
      <c r="I13" s="142"/>
      <c r="J13" s="199"/>
      <c r="K13" s="199"/>
      <c r="L13" s="199"/>
      <c r="M13" s="199"/>
      <c r="N13" s="199"/>
      <c r="O13" s="199"/>
      <c r="P13" s="142"/>
      <c r="Q13" s="199"/>
      <c r="R13" s="140"/>
      <c r="S13" s="199"/>
      <c r="T13" s="140"/>
      <c r="U13" s="140"/>
      <c r="V13" s="140"/>
      <c r="W13" s="199"/>
      <c r="X13" s="199"/>
      <c r="Y13" s="199"/>
      <c r="Z13" s="140"/>
      <c r="AA13" s="199"/>
      <c r="AB13" s="140"/>
      <c r="AC13" s="140"/>
      <c r="AD13" s="140"/>
      <c r="AE13" s="143"/>
      <c r="AF13" s="134">
        <v>1.0</v>
      </c>
    </row>
    <row r="14">
      <c r="A14" s="188">
        <v>9.0</v>
      </c>
      <c r="B14" s="203" t="s">
        <v>343</v>
      </c>
      <c r="C14" s="198" t="s">
        <v>355</v>
      </c>
      <c r="D14" s="130" t="s">
        <v>333</v>
      </c>
      <c r="E14" s="138"/>
      <c r="F14" s="199"/>
      <c r="G14" s="199"/>
      <c r="H14" s="199"/>
      <c r="I14" s="140"/>
      <c r="J14" s="199" t="s">
        <v>185</v>
      </c>
      <c r="K14" s="199"/>
      <c r="L14" s="199"/>
      <c r="M14" s="142" t="s">
        <v>356</v>
      </c>
      <c r="N14" s="199"/>
      <c r="O14" s="199"/>
      <c r="P14" s="142"/>
      <c r="Q14" s="200"/>
      <c r="R14" s="199" t="s">
        <v>185</v>
      </c>
      <c r="S14" s="199"/>
      <c r="T14" s="199"/>
      <c r="U14" s="140"/>
      <c r="V14" s="142"/>
      <c r="W14" s="199"/>
      <c r="X14" s="199"/>
      <c r="Y14" s="200"/>
      <c r="Z14" s="199"/>
      <c r="AA14" s="199"/>
      <c r="AB14" s="140"/>
      <c r="AC14" s="140"/>
      <c r="AD14" s="140"/>
      <c r="AE14" s="143"/>
      <c r="AF14" s="134">
        <v>1.0</v>
      </c>
    </row>
    <row r="15">
      <c r="A15" s="188">
        <v>10.0</v>
      </c>
      <c r="B15" s="203" t="s">
        <v>345</v>
      </c>
      <c r="C15" s="198" t="s">
        <v>357</v>
      </c>
      <c r="D15" s="130" t="s">
        <v>217</v>
      </c>
      <c r="E15" s="204"/>
      <c r="F15" s="199"/>
      <c r="G15" s="140"/>
      <c r="H15" s="154"/>
      <c r="I15" s="154"/>
      <c r="J15" s="199" t="s">
        <v>185</v>
      </c>
      <c r="K15" s="154"/>
      <c r="L15" s="154"/>
      <c r="M15" s="154"/>
      <c r="N15" s="154"/>
      <c r="O15" s="154"/>
      <c r="P15" s="140"/>
      <c r="Q15" s="154"/>
      <c r="R15" s="154"/>
      <c r="S15" s="140"/>
      <c r="T15" s="140"/>
      <c r="U15" s="140"/>
      <c r="V15" s="140"/>
      <c r="W15" s="199"/>
      <c r="X15" s="154"/>
      <c r="Y15" s="154"/>
      <c r="Z15" s="142"/>
      <c r="AA15" s="140"/>
      <c r="AB15" s="140"/>
      <c r="AC15" s="140"/>
      <c r="AD15" s="140"/>
      <c r="AE15" s="143"/>
      <c r="AF15" s="134">
        <v>1.0</v>
      </c>
    </row>
    <row r="16">
      <c r="A16" s="188">
        <v>11.0</v>
      </c>
      <c r="B16" s="203" t="s">
        <v>345</v>
      </c>
      <c r="C16" s="198" t="s">
        <v>358</v>
      </c>
      <c r="D16" s="130" t="s">
        <v>243</v>
      </c>
      <c r="E16" s="204"/>
      <c r="F16" s="207"/>
      <c r="G16" s="140"/>
      <c r="H16" s="207"/>
      <c r="I16" s="140"/>
      <c r="J16" s="207"/>
      <c r="K16" s="210"/>
      <c r="L16" s="200"/>
      <c r="M16" s="200">
        <v>27.0</v>
      </c>
      <c r="N16" s="140"/>
      <c r="O16" s="140"/>
      <c r="P16" s="140"/>
      <c r="Q16" s="211"/>
      <c r="R16" s="140"/>
      <c r="S16" s="140"/>
      <c r="T16" s="140"/>
      <c r="U16" s="140"/>
      <c r="V16" s="140"/>
      <c r="W16" s="200"/>
      <c r="X16" s="211"/>
      <c r="Y16" s="211"/>
      <c r="Z16" s="140"/>
      <c r="AA16" s="140"/>
      <c r="AB16" s="140"/>
      <c r="AC16" s="140"/>
      <c r="AD16" s="140"/>
      <c r="AE16" s="143"/>
      <c r="AF16" s="134">
        <v>1.0</v>
      </c>
    </row>
    <row r="17">
      <c r="A17" s="188">
        <v>12.0</v>
      </c>
      <c r="B17" s="203" t="s">
        <v>343</v>
      </c>
      <c r="C17" s="198" t="s">
        <v>359</v>
      </c>
      <c r="D17" s="130" t="s">
        <v>206</v>
      </c>
      <c r="E17" s="138"/>
      <c r="F17" s="199"/>
      <c r="G17" s="140" t="s">
        <v>360</v>
      </c>
      <c r="H17" s="154"/>
      <c r="I17" s="154"/>
      <c r="J17" s="200" t="s">
        <v>185</v>
      </c>
      <c r="K17" s="200">
        <v>17.0</v>
      </c>
      <c r="L17" s="200"/>
      <c r="M17" s="200"/>
      <c r="N17" s="142"/>
      <c r="O17" s="142"/>
      <c r="P17" s="200"/>
      <c r="Q17" s="142"/>
      <c r="R17" s="200" t="s">
        <v>185</v>
      </c>
      <c r="S17" s="212"/>
      <c r="T17" s="140"/>
      <c r="U17" s="140"/>
      <c r="V17" s="140"/>
      <c r="W17" s="200"/>
      <c r="X17" s="199"/>
      <c r="Y17" s="200"/>
      <c r="Z17" s="154"/>
      <c r="AA17" s="154"/>
      <c r="AB17" s="140"/>
      <c r="AC17" s="140"/>
      <c r="AD17" s="140"/>
      <c r="AE17" s="143"/>
      <c r="AF17" s="134">
        <v>1.0</v>
      </c>
    </row>
    <row r="18">
      <c r="A18" s="188">
        <v>13.0</v>
      </c>
      <c r="B18" s="203" t="s">
        <v>345</v>
      </c>
      <c r="C18" s="198" t="s">
        <v>361</v>
      </c>
      <c r="D18" s="130" t="s">
        <v>229</v>
      </c>
      <c r="E18" s="213"/>
      <c r="F18" s="199"/>
      <c r="G18" s="140"/>
      <c r="H18" s="199"/>
      <c r="I18" s="140"/>
      <c r="J18" s="199"/>
      <c r="K18" s="199"/>
      <c r="L18" s="200">
        <v>38.0</v>
      </c>
      <c r="M18" s="142" t="s">
        <v>362</v>
      </c>
      <c r="N18" s="142"/>
      <c r="O18" s="140"/>
      <c r="P18" s="140"/>
      <c r="Q18" s="214"/>
      <c r="R18" s="140"/>
      <c r="S18" s="199"/>
      <c r="T18" s="140"/>
      <c r="U18" s="140"/>
      <c r="V18" s="140"/>
      <c r="W18" s="142"/>
      <c r="X18" s="199"/>
      <c r="Y18" s="199"/>
      <c r="Z18" s="142"/>
      <c r="AA18" s="142"/>
      <c r="AB18" s="140"/>
      <c r="AC18" s="140"/>
      <c r="AD18" s="140"/>
      <c r="AE18" s="143"/>
      <c r="AF18" s="134">
        <v>1.0</v>
      </c>
    </row>
    <row r="19">
      <c r="A19" s="188">
        <v>14.0</v>
      </c>
      <c r="B19" s="203" t="s">
        <v>343</v>
      </c>
      <c r="C19" s="198" t="s">
        <v>363</v>
      </c>
      <c r="D19" s="130" t="s">
        <v>194</v>
      </c>
      <c r="E19" s="138"/>
      <c r="F19" s="207"/>
      <c r="G19" s="140"/>
      <c r="H19" s="200"/>
      <c r="I19" s="140"/>
      <c r="J19" s="200"/>
      <c r="K19" s="200"/>
      <c r="L19" s="200"/>
      <c r="M19" s="200"/>
      <c r="N19" s="140"/>
      <c r="O19" s="140"/>
      <c r="P19" s="140"/>
      <c r="Q19" s="211"/>
      <c r="R19" s="140"/>
      <c r="S19" s="140"/>
      <c r="T19" s="140"/>
      <c r="U19" s="140"/>
      <c r="V19" s="140"/>
      <c r="W19" s="200"/>
      <c r="X19" s="200"/>
      <c r="Y19" s="200"/>
      <c r="Z19" s="140"/>
      <c r="AA19" s="140"/>
      <c r="AB19" s="140"/>
      <c r="AC19" s="140"/>
      <c r="AD19" s="140"/>
      <c r="AE19" s="143"/>
      <c r="AF19" s="134">
        <v>1.0</v>
      </c>
    </row>
    <row r="20">
      <c r="A20" s="188">
        <v>15.0</v>
      </c>
      <c r="B20" s="203" t="s">
        <v>343</v>
      </c>
      <c r="C20" s="198" t="s">
        <v>364</v>
      </c>
      <c r="D20" s="130" t="s">
        <v>333</v>
      </c>
      <c r="E20" s="138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365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215" t="s">
        <v>366</v>
      </c>
      <c r="AF20" s="134">
        <v>1.0</v>
      </c>
    </row>
    <row r="21">
      <c r="A21" s="188">
        <v>16.0</v>
      </c>
      <c r="B21" s="203" t="s">
        <v>343</v>
      </c>
      <c r="C21" s="198" t="s">
        <v>367</v>
      </c>
      <c r="D21" s="130" t="s">
        <v>201</v>
      </c>
      <c r="E21" s="138"/>
      <c r="F21" s="200"/>
      <c r="G21" s="140"/>
      <c r="H21" s="200"/>
      <c r="I21" s="140"/>
      <c r="J21" s="200"/>
      <c r="K21" s="200"/>
      <c r="L21" s="200"/>
      <c r="M21" s="200"/>
      <c r="N21" s="140"/>
      <c r="O21" s="140"/>
      <c r="P21" s="140"/>
      <c r="Q21" s="200"/>
      <c r="R21" s="140"/>
      <c r="S21" s="140"/>
      <c r="T21" s="140"/>
      <c r="U21" s="140"/>
      <c r="V21" s="140"/>
      <c r="W21" s="211"/>
      <c r="X21" s="211"/>
      <c r="Y21" s="211"/>
      <c r="Z21" s="140"/>
      <c r="AA21" s="140"/>
      <c r="AB21" s="140"/>
      <c r="AC21" s="140"/>
      <c r="AD21" s="140"/>
      <c r="AE21" s="143"/>
      <c r="AF21" s="134">
        <v>1.0</v>
      </c>
    </row>
    <row r="22">
      <c r="A22" s="188">
        <v>17.0</v>
      </c>
      <c r="B22" s="203" t="s">
        <v>345</v>
      </c>
      <c r="C22" s="198" t="s">
        <v>368</v>
      </c>
      <c r="D22" s="144" t="s">
        <v>369</v>
      </c>
      <c r="E22" s="204"/>
      <c r="F22" s="200"/>
      <c r="G22" s="140"/>
      <c r="H22" s="200"/>
      <c r="I22" s="140"/>
      <c r="J22" s="200"/>
      <c r="K22" s="200"/>
      <c r="L22" s="200"/>
      <c r="M22" s="200"/>
      <c r="N22" s="140"/>
      <c r="O22" s="140"/>
      <c r="P22" s="140"/>
      <c r="Q22" s="200"/>
      <c r="R22" s="140"/>
      <c r="S22" s="200"/>
      <c r="T22" s="140"/>
      <c r="U22" s="140"/>
      <c r="V22" s="140"/>
      <c r="W22" s="200"/>
      <c r="X22" s="200"/>
      <c r="Y22" s="216"/>
      <c r="Z22" s="140"/>
      <c r="AA22" s="140"/>
      <c r="AB22" s="140"/>
      <c r="AC22" s="140"/>
      <c r="AD22" s="140"/>
      <c r="AE22" s="143"/>
      <c r="AF22" s="134">
        <v>1.0</v>
      </c>
    </row>
    <row r="23">
      <c r="A23" s="188">
        <v>18.0</v>
      </c>
      <c r="B23" s="203" t="s">
        <v>343</v>
      </c>
      <c r="C23" s="198" t="s">
        <v>370</v>
      </c>
      <c r="D23" s="130" t="s">
        <v>194</v>
      </c>
      <c r="E23" s="138"/>
      <c r="F23" s="207"/>
      <c r="G23" s="140"/>
      <c r="H23" s="200"/>
      <c r="I23" s="140"/>
      <c r="J23" s="200" t="s">
        <v>185</v>
      </c>
      <c r="K23" s="200" t="s">
        <v>371</v>
      </c>
      <c r="L23" s="199"/>
      <c r="M23" s="199"/>
      <c r="N23" s="140">
        <v>54.0</v>
      </c>
      <c r="O23" s="140"/>
      <c r="P23" s="140"/>
      <c r="Q23" s="142"/>
      <c r="R23" s="140"/>
      <c r="S23" s="200"/>
      <c r="T23" s="140"/>
      <c r="U23" s="140"/>
      <c r="V23" s="140"/>
      <c r="W23" s="199"/>
      <c r="X23" s="200"/>
      <c r="Y23" s="200"/>
      <c r="Z23" s="142"/>
      <c r="AA23" s="140"/>
      <c r="AB23" s="140"/>
      <c r="AC23" s="140"/>
      <c r="AD23" s="140"/>
      <c r="AE23" s="143"/>
      <c r="AF23" s="134">
        <v>1.0</v>
      </c>
    </row>
    <row r="24">
      <c r="A24" s="188">
        <v>19.0</v>
      </c>
      <c r="B24" s="203" t="s">
        <v>345</v>
      </c>
      <c r="C24" s="198" t="s">
        <v>372</v>
      </c>
      <c r="D24" s="130" t="s">
        <v>206</v>
      </c>
      <c r="E24" s="204"/>
      <c r="F24" s="199"/>
      <c r="G24" s="140"/>
      <c r="H24" s="200" t="s">
        <v>373</v>
      </c>
      <c r="I24" s="200"/>
      <c r="J24" s="199" t="s">
        <v>185</v>
      </c>
      <c r="K24" s="200">
        <v>11.0</v>
      </c>
      <c r="L24" s="199"/>
      <c r="M24" s="217" t="s">
        <v>374</v>
      </c>
      <c r="N24" s="142"/>
      <c r="O24" s="140"/>
      <c r="P24" s="140"/>
      <c r="Q24" s="142"/>
      <c r="R24" s="199" t="s">
        <v>185</v>
      </c>
      <c r="S24" s="201"/>
      <c r="T24" s="140"/>
      <c r="U24" s="140"/>
      <c r="V24" s="140"/>
      <c r="W24" s="200"/>
      <c r="X24" s="199"/>
      <c r="Y24" s="142"/>
      <c r="Z24" s="199"/>
      <c r="AA24" s="140"/>
      <c r="AB24" s="140"/>
      <c r="AC24" s="140"/>
      <c r="AD24" s="140"/>
      <c r="AE24" s="143"/>
      <c r="AF24" s="134">
        <v>1.0</v>
      </c>
    </row>
    <row r="25">
      <c r="A25" s="188">
        <v>20.0</v>
      </c>
      <c r="B25" s="203" t="s">
        <v>343</v>
      </c>
      <c r="C25" s="198" t="s">
        <v>375</v>
      </c>
      <c r="D25" s="130" t="s">
        <v>341</v>
      </c>
      <c r="E25" s="138"/>
      <c r="F25" s="207"/>
      <c r="G25" s="140"/>
      <c r="H25" s="200"/>
      <c r="I25" s="140"/>
      <c r="J25" s="200"/>
      <c r="K25" s="199"/>
      <c r="L25" s="199"/>
      <c r="M25" s="199"/>
      <c r="N25" s="140"/>
      <c r="O25" s="140"/>
      <c r="P25" s="140"/>
      <c r="Q25" s="201"/>
      <c r="R25" s="140"/>
      <c r="S25" s="200"/>
      <c r="T25" s="140"/>
      <c r="U25" s="140"/>
      <c r="V25" s="140"/>
      <c r="W25" s="200"/>
      <c r="X25" s="200"/>
      <c r="Y25" s="208"/>
      <c r="Z25" s="140"/>
      <c r="AA25" s="140"/>
      <c r="AB25" s="140"/>
      <c r="AC25" s="140"/>
      <c r="AD25" s="140"/>
      <c r="AE25" s="143"/>
      <c r="AF25" s="134">
        <v>1.0</v>
      </c>
    </row>
    <row r="26">
      <c r="A26" s="188">
        <v>21.0</v>
      </c>
      <c r="B26" s="203" t="s">
        <v>343</v>
      </c>
      <c r="C26" s="198" t="s">
        <v>376</v>
      </c>
      <c r="D26" s="130" t="s">
        <v>181</v>
      </c>
      <c r="E26" s="138"/>
      <c r="F26" s="207"/>
      <c r="G26" s="154"/>
      <c r="H26" s="207"/>
      <c r="I26" s="154"/>
      <c r="J26" s="199" t="s">
        <v>185</v>
      </c>
      <c r="K26" s="142"/>
      <c r="L26" s="199"/>
      <c r="M26" s="142"/>
      <c r="N26" s="142"/>
      <c r="O26" s="142" t="s">
        <v>265</v>
      </c>
      <c r="P26" s="142" t="s">
        <v>265</v>
      </c>
      <c r="Q26" s="142"/>
      <c r="R26" s="199"/>
      <c r="S26" s="142"/>
      <c r="T26" s="142"/>
      <c r="U26" s="192"/>
      <c r="V26" s="142"/>
      <c r="W26" s="201"/>
      <c r="X26" s="201"/>
      <c r="Y26" s="142"/>
      <c r="Z26" s="142"/>
      <c r="AA26" s="142"/>
      <c r="AB26" s="192"/>
      <c r="AC26" s="192"/>
      <c r="AD26" s="192"/>
      <c r="AE26" s="143"/>
      <c r="AF26" s="134">
        <v>1.0</v>
      </c>
    </row>
    <row r="27">
      <c r="A27" s="188">
        <v>22.0</v>
      </c>
      <c r="B27" s="203" t="s">
        <v>343</v>
      </c>
      <c r="C27" s="198" t="s">
        <v>377</v>
      </c>
      <c r="D27" s="130" t="s">
        <v>208</v>
      </c>
      <c r="E27" s="138"/>
      <c r="F27" s="200"/>
      <c r="G27" s="140"/>
      <c r="H27" s="200"/>
      <c r="I27" s="140"/>
      <c r="J27" s="200"/>
      <c r="K27" s="200"/>
      <c r="L27" s="200"/>
      <c r="M27" s="200"/>
      <c r="N27" s="192"/>
      <c r="O27" s="140"/>
      <c r="P27" s="192"/>
      <c r="Q27" s="200"/>
      <c r="R27" s="192"/>
      <c r="S27" s="192"/>
      <c r="T27" s="140"/>
      <c r="U27" s="140"/>
      <c r="V27" s="140"/>
      <c r="W27" s="201"/>
      <c r="X27" s="201"/>
      <c r="Y27" s="208"/>
      <c r="Z27" s="140"/>
      <c r="AA27" s="140"/>
      <c r="AB27" s="140"/>
      <c r="AC27" s="140"/>
      <c r="AD27" s="140"/>
      <c r="AE27" s="143"/>
      <c r="AF27" s="134">
        <v>1.0</v>
      </c>
    </row>
    <row r="28">
      <c r="A28" s="188">
        <v>23.0</v>
      </c>
      <c r="B28" s="203" t="s">
        <v>343</v>
      </c>
      <c r="C28" s="198" t="s">
        <v>378</v>
      </c>
      <c r="D28" s="130" t="s">
        <v>279</v>
      </c>
      <c r="E28" s="138"/>
      <c r="F28" s="199"/>
      <c r="G28" s="199"/>
      <c r="H28" s="199"/>
      <c r="I28" s="199"/>
      <c r="J28" s="199"/>
      <c r="K28" s="199"/>
      <c r="L28" s="199"/>
      <c r="M28" s="199"/>
      <c r="N28" s="199"/>
      <c r="O28" s="199"/>
      <c r="P28" s="199"/>
      <c r="Q28" s="199"/>
      <c r="R28" s="199"/>
      <c r="S28" s="199"/>
      <c r="T28" s="199"/>
      <c r="U28" s="199"/>
      <c r="V28" s="199"/>
      <c r="W28" s="199"/>
      <c r="X28" s="199"/>
      <c r="Y28" s="199"/>
      <c r="Z28" s="199"/>
      <c r="AA28" s="199"/>
      <c r="AB28" s="199"/>
      <c r="AC28" s="199"/>
      <c r="AD28" s="199"/>
      <c r="AE28" s="215" t="s">
        <v>366</v>
      </c>
      <c r="AF28" s="134">
        <v>1.0</v>
      </c>
    </row>
    <row r="29">
      <c r="A29" s="188">
        <v>24.0</v>
      </c>
      <c r="B29" s="203" t="s">
        <v>343</v>
      </c>
      <c r="C29" s="198" t="s">
        <v>379</v>
      </c>
      <c r="D29" s="145" t="s">
        <v>183</v>
      </c>
      <c r="E29" s="138"/>
      <c r="F29" s="199"/>
      <c r="G29" s="140"/>
      <c r="H29" s="199"/>
      <c r="I29" s="142"/>
      <c r="J29" s="199" t="s">
        <v>185</v>
      </c>
      <c r="K29" s="199"/>
      <c r="L29" s="199"/>
      <c r="M29" s="199"/>
      <c r="N29" s="199"/>
      <c r="O29" s="199"/>
      <c r="P29" s="142">
        <v>62.0</v>
      </c>
      <c r="Q29" s="199"/>
      <c r="R29" s="142"/>
      <c r="S29" s="199"/>
      <c r="T29" s="199"/>
      <c r="U29" s="199"/>
      <c r="V29" s="199"/>
      <c r="W29" s="199"/>
      <c r="X29" s="199"/>
      <c r="Y29" s="199"/>
      <c r="Z29" s="199"/>
      <c r="AA29" s="199"/>
      <c r="AB29" s="140"/>
      <c r="AC29" s="140"/>
      <c r="AD29" s="140"/>
      <c r="AE29" s="143"/>
      <c r="AF29" s="134">
        <v>1.0</v>
      </c>
    </row>
    <row r="30">
      <c r="A30" s="188">
        <v>25.0</v>
      </c>
      <c r="B30" s="203" t="s">
        <v>343</v>
      </c>
      <c r="C30" s="198" t="s">
        <v>380</v>
      </c>
      <c r="D30" s="130" t="s">
        <v>229</v>
      </c>
      <c r="E30" s="138"/>
      <c r="F30" s="200"/>
      <c r="G30" s="140"/>
      <c r="H30" s="200"/>
      <c r="I30" s="140"/>
      <c r="J30" s="200"/>
      <c r="K30" s="200"/>
      <c r="L30" s="200"/>
      <c r="M30" s="200"/>
      <c r="N30" s="140"/>
      <c r="O30" s="140"/>
      <c r="P30" s="140"/>
      <c r="Q30" s="211" t="s">
        <v>381</v>
      </c>
      <c r="R30" s="140"/>
      <c r="S30" s="140"/>
      <c r="T30" s="140"/>
      <c r="U30" s="140"/>
      <c r="V30" s="140"/>
      <c r="W30" s="200"/>
      <c r="X30" s="200"/>
      <c r="Y30" s="211"/>
      <c r="Z30" s="140"/>
      <c r="AA30" s="140"/>
      <c r="AB30" s="140"/>
      <c r="AC30" s="140"/>
      <c r="AD30" s="140"/>
      <c r="AE30" s="143"/>
      <c r="AF30" s="134">
        <v>1.0</v>
      </c>
    </row>
    <row r="31">
      <c r="A31" s="188">
        <v>26.0</v>
      </c>
      <c r="B31" s="203" t="s">
        <v>343</v>
      </c>
      <c r="C31" s="198" t="s">
        <v>382</v>
      </c>
      <c r="D31" s="130" t="s">
        <v>181</v>
      </c>
      <c r="E31" s="138"/>
      <c r="F31" s="199"/>
      <c r="G31" s="142"/>
      <c r="H31" s="199"/>
      <c r="I31" s="199"/>
      <c r="J31" s="199"/>
      <c r="K31" s="199"/>
      <c r="L31" s="199"/>
      <c r="M31" s="199"/>
      <c r="N31" s="199"/>
      <c r="O31" s="199"/>
      <c r="P31" s="200"/>
      <c r="Q31" s="142">
        <v>76.0</v>
      </c>
      <c r="R31" s="199"/>
      <c r="S31" s="199"/>
      <c r="T31" s="199"/>
      <c r="U31" s="142"/>
      <c r="V31" s="199"/>
      <c r="W31" s="199"/>
      <c r="X31" s="199"/>
      <c r="Y31" s="218"/>
      <c r="Z31" s="142"/>
      <c r="AA31" s="142"/>
      <c r="AB31" s="142"/>
      <c r="AC31" s="140"/>
      <c r="AD31" s="140"/>
      <c r="AE31" s="143"/>
      <c r="AF31" s="134">
        <v>1.0</v>
      </c>
    </row>
    <row r="32">
      <c r="A32" s="188">
        <v>27.0</v>
      </c>
      <c r="B32" s="203" t="s">
        <v>343</v>
      </c>
      <c r="C32" s="198" t="s">
        <v>383</v>
      </c>
      <c r="D32" s="130" t="s">
        <v>196</v>
      </c>
      <c r="E32" s="138"/>
      <c r="F32" s="199"/>
      <c r="G32" s="199"/>
      <c r="H32" s="199"/>
      <c r="I32" s="199"/>
      <c r="J32" s="199"/>
      <c r="K32" s="199"/>
      <c r="L32" s="199"/>
      <c r="M32" s="199"/>
      <c r="N32" s="199"/>
      <c r="O32" s="199"/>
      <c r="P32" s="199"/>
      <c r="Q32" s="199"/>
      <c r="R32" s="199"/>
      <c r="S32" s="199"/>
      <c r="T32" s="199"/>
      <c r="U32" s="199"/>
      <c r="V32" s="199"/>
      <c r="W32" s="199"/>
      <c r="X32" s="199"/>
      <c r="Y32" s="199"/>
      <c r="Z32" s="199"/>
      <c r="AA32" s="199"/>
      <c r="AB32" s="199"/>
      <c r="AC32" s="140"/>
      <c r="AD32" s="140"/>
      <c r="AE32" s="143"/>
      <c r="AF32" s="158">
        <v>0.0</v>
      </c>
    </row>
    <row r="33">
      <c r="A33" s="188">
        <v>28.0</v>
      </c>
      <c r="B33" s="203" t="s">
        <v>343</v>
      </c>
      <c r="C33" s="198" t="s">
        <v>384</v>
      </c>
      <c r="D33" s="130" t="s">
        <v>196</v>
      </c>
      <c r="E33" s="138"/>
      <c r="F33" s="199"/>
      <c r="G33" s="199"/>
      <c r="H33" s="199"/>
      <c r="I33" s="199"/>
      <c r="J33" s="199"/>
      <c r="K33" s="199"/>
      <c r="L33" s="199"/>
      <c r="M33" s="199"/>
      <c r="N33" s="199"/>
      <c r="O33" s="199"/>
      <c r="P33" s="199"/>
      <c r="Q33" s="199"/>
      <c r="R33" s="199"/>
      <c r="S33" s="199"/>
      <c r="T33" s="199"/>
      <c r="U33" s="199"/>
      <c r="V33" s="142"/>
      <c r="W33" s="200"/>
      <c r="X33" s="199"/>
      <c r="Y33" s="199"/>
      <c r="Z33" s="199"/>
      <c r="AA33" s="199"/>
      <c r="AB33" s="200"/>
      <c r="AC33" s="140"/>
      <c r="AD33" s="140"/>
      <c r="AE33" s="143"/>
      <c r="AF33" s="134">
        <v>1.0</v>
      </c>
    </row>
    <row r="34">
      <c r="A34" s="188">
        <v>29.0</v>
      </c>
      <c r="B34" s="203" t="s">
        <v>345</v>
      </c>
      <c r="C34" s="198" t="s">
        <v>385</v>
      </c>
      <c r="D34" s="130" t="s">
        <v>217</v>
      </c>
      <c r="E34" s="204"/>
      <c r="F34" s="200"/>
      <c r="G34" s="140"/>
      <c r="H34" s="200"/>
      <c r="I34" s="140"/>
      <c r="J34" s="200"/>
      <c r="K34" s="200">
        <v>17.0</v>
      </c>
      <c r="L34" s="200"/>
      <c r="M34" s="200">
        <v>50.0</v>
      </c>
      <c r="N34" s="140"/>
      <c r="O34" s="140"/>
      <c r="P34" s="140"/>
      <c r="Q34" s="200"/>
      <c r="R34" s="140"/>
      <c r="S34" s="200"/>
      <c r="T34" s="140"/>
      <c r="U34" s="140"/>
      <c r="V34" s="140"/>
      <c r="W34" s="200"/>
      <c r="X34" s="200"/>
      <c r="Y34" s="219"/>
      <c r="Z34" s="140"/>
      <c r="AA34" s="140"/>
      <c r="AB34" s="140"/>
      <c r="AC34" s="140"/>
      <c r="AD34" s="140"/>
      <c r="AE34" s="143"/>
      <c r="AF34" s="134">
        <v>1.0</v>
      </c>
    </row>
    <row r="35">
      <c r="A35" s="188">
        <v>30.0</v>
      </c>
      <c r="B35" s="203" t="s">
        <v>343</v>
      </c>
      <c r="C35" s="198" t="s">
        <v>386</v>
      </c>
      <c r="D35" s="130" t="s">
        <v>181</v>
      </c>
      <c r="E35" s="138"/>
      <c r="F35" s="207"/>
      <c r="G35" s="140"/>
      <c r="H35" s="199"/>
      <c r="I35" s="140"/>
      <c r="J35" s="200"/>
      <c r="K35" s="200">
        <v>11.0</v>
      </c>
      <c r="L35" s="199"/>
      <c r="M35" s="200"/>
      <c r="N35" s="200">
        <v>45.0</v>
      </c>
      <c r="O35" s="140"/>
      <c r="P35" s="140"/>
      <c r="Q35" s="142"/>
      <c r="R35" s="140"/>
      <c r="S35" s="200"/>
      <c r="T35" s="200"/>
      <c r="U35" s="140"/>
      <c r="V35" s="142"/>
      <c r="W35" s="199"/>
      <c r="X35" s="199"/>
      <c r="Y35" s="199"/>
      <c r="Z35" s="199"/>
      <c r="AA35" s="199"/>
      <c r="AB35" s="140"/>
      <c r="AC35" s="140"/>
      <c r="AD35" s="140"/>
      <c r="AE35" s="143"/>
      <c r="AF35" s="134">
        <v>1.0</v>
      </c>
    </row>
    <row r="36">
      <c r="A36" s="188">
        <v>31.0</v>
      </c>
      <c r="B36" s="197" t="s">
        <v>343</v>
      </c>
      <c r="C36" s="198" t="s">
        <v>387</v>
      </c>
      <c r="D36" s="130" t="s">
        <v>369</v>
      </c>
      <c r="E36" s="138"/>
      <c r="F36" s="220"/>
      <c r="G36" s="156"/>
      <c r="H36" s="220"/>
      <c r="I36" s="142"/>
      <c r="J36" s="199" t="s">
        <v>185</v>
      </c>
      <c r="K36" s="199"/>
      <c r="L36" s="199" t="s">
        <v>5</v>
      </c>
      <c r="M36" s="220" t="s">
        <v>5</v>
      </c>
      <c r="N36" s="199"/>
      <c r="O36" s="221"/>
      <c r="P36" s="221"/>
      <c r="Q36" s="142"/>
      <c r="R36" s="221"/>
      <c r="S36" s="207"/>
      <c r="T36" s="221"/>
      <c r="U36" s="221"/>
      <c r="V36" s="222"/>
      <c r="W36" s="199"/>
      <c r="X36" s="199"/>
      <c r="Y36" s="142"/>
      <c r="Z36" s="142"/>
      <c r="AA36" s="142"/>
      <c r="AB36" s="221"/>
      <c r="AC36" s="221"/>
      <c r="AD36" s="223"/>
      <c r="AE36" s="224" t="str">
        <f t="shared" ref="AE36:AE47" si="1">IF(COUNTA(F36:AC36)=24,"допущен","")</f>
        <v/>
      </c>
      <c r="AF36" s="134"/>
    </row>
    <row r="37">
      <c r="A37" s="188">
        <v>32.0</v>
      </c>
      <c r="B37" s="203" t="s">
        <v>343</v>
      </c>
      <c r="C37" s="198" t="s">
        <v>388</v>
      </c>
      <c r="D37" s="145" t="s">
        <v>211</v>
      </c>
      <c r="E37" s="155" t="s">
        <v>183</v>
      </c>
      <c r="F37" s="199"/>
      <c r="G37" s="156"/>
      <c r="H37" s="199"/>
      <c r="I37" s="199"/>
      <c r="J37" s="199" t="s">
        <v>185</v>
      </c>
      <c r="K37" s="199" t="s">
        <v>389</v>
      </c>
      <c r="L37" s="199" t="s">
        <v>389</v>
      </c>
      <c r="M37" s="199" t="s">
        <v>389</v>
      </c>
      <c r="N37" s="199" t="s">
        <v>389</v>
      </c>
      <c r="O37" s="199" t="s">
        <v>389</v>
      </c>
      <c r="P37" s="142"/>
      <c r="Q37" s="199"/>
      <c r="R37" s="140"/>
      <c r="S37" s="199"/>
      <c r="T37" s="140"/>
      <c r="U37" s="140"/>
      <c r="V37" s="140"/>
      <c r="W37" s="199"/>
      <c r="X37" s="199"/>
      <c r="Y37" s="207"/>
      <c r="Z37" s="140"/>
      <c r="AA37" s="199"/>
      <c r="AB37" s="140"/>
      <c r="AC37" s="140"/>
      <c r="AD37" s="223"/>
      <c r="AE37" s="224" t="str">
        <f t="shared" si="1"/>
        <v/>
      </c>
      <c r="AF37" s="134"/>
    </row>
    <row r="38">
      <c r="A38" s="188">
        <v>33.0</v>
      </c>
      <c r="B38" s="203" t="s">
        <v>345</v>
      </c>
      <c r="C38" s="198" t="s">
        <v>390</v>
      </c>
      <c r="D38" s="130" t="s">
        <v>243</v>
      </c>
      <c r="E38" s="204"/>
      <c r="F38" s="199"/>
      <c r="G38" s="154"/>
      <c r="H38" s="154"/>
      <c r="I38" s="154"/>
      <c r="J38" s="199" t="s">
        <v>185</v>
      </c>
      <c r="K38" s="207" t="s">
        <v>391</v>
      </c>
      <c r="L38" s="207">
        <v>30.0</v>
      </c>
      <c r="M38" s="154" t="s">
        <v>392</v>
      </c>
      <c r="N38" s="200" t="s">
        <v>393</v>
      </c>
      <c r="O38" s="142" t="s">
        <v>393</v>
      </c>
      <c r="P38" s="142" t="s">
        <v>394</v>
      </c>
      <c r="Q38" s="142"/>
      <c r="R38" s="199" t="s">
        <v>185</v>
      </c>
      <c r="S38" s="207"/>
      <c r="T38" s="142"/>
      <c r="U38" s="140"/>
      <c r="V38" s="142"/>
      <c r="W38" s="199"/>
      <c r="X38" s="199"/>
      <c r="Y38" s="207"/>
      <c r="Z38" s="142"/>
      <c r="AA38" s="142"/>
      <c r="AB38" s="140"/>
      <c r="AC38" s="140"/>
      <c r="AD38" s="223"/>
      <c r="AE38" s="224" t="str">
        <f t="shared" si="1"/>
        <v/>
      </c>
      <c r="AF38" s="134"/>
    </row>
    <row r="39">
      <c r="A39" s="188">
        <v>34.0</v>
      </c>
      <c r="B39" s="203" t="s">
        <v>343</v>
      </c>
      <c r="C39" s="198" t="s">
        <v>395</v>
      </c>
      <c r="D39" s="130" t="s">
        <v>288</v>
      </c>
      <c r="E39" s="138"/>
      <c r="F39" s="199"/>
      <c r="G39" s="154"/>
      <c r="H39" s="207"/>
      <c r="I39" s="207"/>
      <c r="J39" s="199"/>
      <c r="K39" s="199"/>
      <c r="L39" s="199"/>
      <c r="M39" s="199"/>
      <c r="N39" s="199"/>
      <c r="O39" s="199"/>
      <c r="P39" s="225" t="s">
        <v>396</v>
      </c>
      <c r="Q39" s="207"/>
      <c r="R39" s="199"/>
      <c r="S39" s="199"/>
      <c r="T39" s="199"/>
      <c r="U39" s="140"/>
      <c r="V39" s="142"/>
      <c r="W39" s="199"/>
      <c r="X39" s="199"/>
      <c r="Y39" s="142"/>
      <c r="Z39" s="199"/>
      <c r="AA39" s="142"/>
      <c r="AB39" s="207"/>
      <c r="AC39" s="140"/>
      <c r="AD39" s="223"/>
      <c r="AE39" s="224" t="str">
        <f t="shared" si="1"/>
        <v/>
      </c>
      <c r="AF39" s="134"/>
    </row>
    <row r="40">
      <c r="A40" s="188">
        <v>35.0</v>
      </c>
      <c r="B40" s="203" t="s">
        <v>345</v>
      </c>
      <c r="C40" s="198" t="s">
        <v>397</v>
      </c>
      <c r="D40" s="130" t="s">
        <v>206</v>
      </c>
      <c r="E40" s="204"/>
      <c r="F40" s="207" t="s">
        <v>398</v>
      </c>
      <c r="G40" s="156"/>
      <c r="H40" s="207"/>
      <c r="I40" s="156"/>
      <c r="J40" s="199" t="s">
        <v>185</v>
      </c>
      <c r="K40" s="199"/>
      <c r="L40" s="199"/>
      <c r="M40" s="142"/>
      <c r="N40" s="142"/>
      <c r="O40" s="142"/>
      <c r="P40" s="142"/>
      <c r="Q40" s="142"/>
      <c r="R40" s="199" t="s">
        <v>185</v>
      </c>
      <c r="S40" s="199"/>
      <c r="T40" s="199"/>
      <c r="U40" s="156"/>
      <c r="V40" s="142"/>
      <c r="W40" s="200"/>
      <c r="X40" s="199"/>
      <c r="Y40" s="200"/>
      <c r="Z40" s="142"/>
      <c r="AA40" s="142"/>
      <c r="AB40" s="142"/>
      <c r="AC40" s="156"/>
      <c r="AD40" s="226"/>
      <c r="AE40" s="224" t="str">
        <f t="shared" si="1"/>
        <v/>
      </c>
      <c r="AF40" s="134"/>
    </row>
    <row r="41">
      <c r="A41" s="188">
        <v>36.0</v>
      </c>
      <c r="B41" s="203"/>
      <c r="C41" s="198" t="s">
        <v>399</v>
      </c>
      <c r="D41" s="130" t="s">
        <v>191</v>
      </c>
      <c r="E41" s="204"/>
      <c r="F41" s="207"/>
      <c r="G41" s="140"/>
      <c r="H41" s="207"/>
      <c r="I41" s="154"/>
      <c r="J41" s="199" t="s">
        <v>185</v>
      </c>
      <c r="K41" s="142" t="s">
        <v>400</v>
      </c>
      <c r="L41" s="199"/>
      <c r="M41" s="142"/>
      <c r="N41" s="142"/>
      <c r="O41" s="142"/>
      <c r="P41" s="142"/>
      <c r="Q41" s="142"/>
      <c r="R41" s="142"/>
      <c r="S41" s="140"/>
      <c r="T41" s="140"/>
      <c r="U41" s="140"/>
      <c r="V41" s="140"/>
      <c r="W41" s="200"/>
      <c r="X41" s="200"/>
      <c r="Y41" s="211"/>
      <c r="Z41" s="140"/>
      <c r="AA41" s="142"/>
      <c r="AB41" s="140"/>
      <c r="AC41" s="140"/>
      <c r="AD41" s="223"/>
      <c r="AE41" s="224" t="str">
        <f t="shared" si="1"/>
        <v/>
      </c>
      <c r="AF41" s="134"/>
    </row>
    <row r="42">
      <c r="A42" s="188">
        <v>37.0</v>
      </c>
      <c r="B42" s="203" t="s">
        <v>343</v>
      </c>
      <c r="C42" s="198" t="s">
        <v>401</v>
      </c>
      <c r="D42" s="130" t="s">
        <v>208</v>
      </c>
      <c r="E42" s="138"/>
      <c r="F42" s="199"/>
      <c r="G42" s="199"/>
      <c r="H42" s="154"/>
      <c r="I42" s="199"/>
      <c r="J42" s="199"/>
      <c r="K42" s="199"/>
      <c r="L42" s="199"/>
      <c r="M42" s="207">
        <v>41.0</v>
      </c>
      <c r="N42" s="207">
        <v>59.0</v>
      </c>
      <c r="O42" s="199"/>
      <c r="P42" s="142">
        <v>67.74</v>
      </c>
      <c r="Q42" s="142"/>
      <c r="R42" s="199"/>
      <c r="S42" s="199"/>
      <c r="T42" s="199"/>
      <c r="U42" s="199"/>
      <c r="V42" s="199"/>
      <c r="W42" s="199"/>
      <c r="X42" s="199"/>
      <c r="Y42" s="199"/>
      <c r="Z42" s="142"/>
      <c r="AA42" s="199"/>
      <c r="AB42" s="199"/>
      <c r="AC42" s="140"/>
      <c r="AD42" s="223"/>
      <c r="AE42" s="224" t="str">
        <f t="shared" si="1"/>
        <v/>
      </c>
      <c r="AF42" s="134"/>
    </row>
    <row r="43">
      <c r="A43" s="188">
        <v>38.0</v>
      </c>
      <c r="B43" s="203" t="s">
        <v>343</v>
      </c>
      <c r="C43" s="198" t="s">
        <v>402</v>
      </c>
      <c r="D43" s="130" t="s">
        <v>333</v>
      </c>
      <c r="E43" s="138"/>
      <c r="F43" s="207" t="s">
        <v>398</v>
      </c>
      <c r="G43" s="154"/>
      <c r="H43" s="207" t="s">
        <v>398</v>
      </c>
      <c r="I43" s="156"/>
      <c r="J43" s="199"/>
      <c r="K43" s="199"/>
      <c r="L43" s="207">
        <v>20.0</v>
      </c>
      <c r="M43" s="154"/>
      <c r="N43" s="154"/>
      <c r="O43" s="154"/>
      <c r="P43" s="154"/>
      <c r="Q43" s="142"/>
      <c r="R43" s="140"/>
      <c r="S43" s="140"/>
      <c r="T43" s="140"/>
      <c r="U43" s="140"/>
      <c r="V43" s="140"/>
      <c r="W43" s="199"/>
      <c r="X43" s="199"/>
      <c r="Y43" s="142"/>
      <c r="Z43" s="142"/>
      <c r="AA43" s="142"/>
      <c r="AB43" s="140"/>
      <c r="AC43" s="140"/>
      <c r="AD43" s="223"/>
      <c r="AE43" s="224" t="str">
        <f t="shared" si="1"/>
        <v/>
      </c>
      <c r="AF43" s="134"/>
    </row>
    <row r="44">
      <c r="A44" s="188">
        <v>39.0</v>
      </c>
      <c r="B44" s="203"/>
      <c r="C44" s="198" t="s">
        <v>403</v>
      </c>
      <c r="D44" s="227" t="s">
        <v>404</v>
      </c>
      <c r="E44" s="228" t="s">
        <v>273</v>
      </c>
      <c r="F44" s="199"/>
      <c r="G44" s="154"/>
      <c r="H44" s="154"/>
      <c r="I44" s="156"/>
      <c r="J44" s="199" t="s">
        <v>185</v>
      </c>
      <c r="K44" s="207" t="s">
        <v>405</v>
      </c>
      <c r="L44" s="199"/>
      <c r="M44" s="207" t="s">
        <v>405</v>
      </c>
      <c r="N44" s="199"/>
      <c r="O44" s="199" t="s">
        <v>406</v>
      </c>
      <c r="P44" s="199" t="s">
        <v>406</v>
      </c>
      <c r="Q44" s="142">
        <v>94.97</v>
      </c>
      <c r="R44" s="199" t="s">
        <v>185</v>
      </c>
      <c r="S44" s="142"/>
      <c r="T44" s="156"/>
      <c r="U44" s="156"/>
      <c r="V44" s="142"/>
      <c r="W44" s="199"/>
      <c r="X44" s="199"/>
      <c r="Y44" s="200"/>
      <c r="Z44" s="199"/>
      <c r="AA44" s="199"/>
      <c r="AB44" s="156"/>
      <c r="AC44" s="156"/>
      <c r="AD44" s="226"/>
      <c r="AE44" s="224" t="str">
        <f t="shared" si="1"/>
        <v/>
      </c>
      <c r="AF44" s="134"/>
    </row>
    <row r="45">
      <c r="A45" s="188">
        <v>40.0</v>
      </c>
      <c r="B45" s="203" t="s">
        <v>343</v>
      </c>
      <c r="C45" s="198" t="s">
        <v>407</v>
      </c>
      <c r="D45" s="130" t="s">
        <v>333</v>
      </c>
      <c r="E45" s="138"/>
      <c r="F45" s="207"/>
      <c r="G45" s="140"/>
      <c r="H45" s="200"/>
      <c r="I45" s="140"/>
      <c r="J45" s="207"/>
      <c r="K45" s="207"/>
      <c r="L45" s="207"/>
      <c r="M45" s="207"/>
      <c r="N45" s="154"/>
      <c r="O45" s="154"/>
      <c r="P45" s="140"/>
      <c r="Q45" s="154"/>
      <c r="R45" s="140"/>
      <c r="S45" s="156"/>
      <c r="T45" s="156"/>
      <c r="U45" s="140"/>
      <c r="V45" s="140"/>
      <c r="W45" s="200"/>
      <c r="X45" s="229"/>
      <c r="Y45" s="200"/>
      <c r="Z45" s="142"/>
      <c r="AA45" s="140"/>
      <c r="AB45" s="140"/>
      <c r="AC45" s="140"/>
      <c r="AD45" s="223"/>
      <c r="AE45" s="224" t="str">
        <f t="shared" si="1"/>
        <v/>
      </c>
      <c r="AF45" s="134"/>
    </row>
    <row r="46">
      <c r="A46" s="188">
        <v>41.0</v>
      </c>
      <c r="B46" s="203" t="s">
        <v>343</v>
      </c>
      <c r="C46" s="198" t="s">
        <v>408</v>
      </c>
      <c r="D46" s="130" t="s">
        <v>181</v>
      </c>
      <c r="E46" s="138"/>
      <c r="F46" s="199"/>
      <c r="G46" s="154"/>
      <c r="H46" s="199"/>
      <c r="I46" s="154"/>
      <c r="J46" s="199"/>
      <c r="K46" s="199"/>
      <c r="L46" s="199"/>
      <c r="M46" s="199"/>
      <c r="N46" s="199"/>
      <c r="O46" s="199"/>
      <c r="P46" s="199"/>
      <c r="Q46" s="199"/>
      <c r="R46" s="199"/>
      <c r="S46" s="199"/>
      <c r="T46" s="199"/>
      <c r="U46" s="199"/>
      <c r="V46" s="142"/>
      <c r="W46" s="199"/>
      <c r="X46" s="199"/>
      <c r="Y46" s="199"/>
      <c r="Z46" s="200"/>
      <c r="AA46" s="200"/>
      <c r="AB46" s="200"/>
      <c r="AC46" s="140"/>
      <c r="AD46" s="223"/>
      <c r="AE46" s="224" t="str">
        <f t="shared" si="1"/>
        <v/>
      </c>
      <c r="AF46" s="134"/>
    </row>
    <row r="47">
      <c r="A47" s="188">
        <v>42.0</v>
      </c>
      <c r="B47" s="203" t="s">
        <v>343</v>
      </c>
      <c r="C47" s="198" t="s">
        <v>409</v>
      </c>
      <c r="D47" s="130" t="s">
        <v>333</v>
      </c>
      <c r="E47" s="138"/>
      <c r="F47" s="199"/>
      <c r="G47" s="154"/>
      <c r="H47" s="199"/>
      <c r="I47" s="200"/>
      <c r="J47" s="199"/>
      <c r="K47" s="199"/>
      <c r="L47" s="199"/>
      <c r="M47" s="207">
        <v>27.0</v>
      </c>
      <c r="N47" s="199"/>
      <c r="O47" s="199"/>
      <c r="P47" s="199"/>
      <c r="Q47" s="199"/>
      <c r="R47" s="199"/>
      <c r="S47" s="199"/>
      <c r="T47" s="199"/>
      <c r="U47" s="199"/>
      <c r="V47" s="199"/>
      <c r="W47" s="199"/>
      <c r="X47" s="199"/>
      <c r="Y47" s="199"/>
      <c r="Z47" s="199"/>
      <c r="AA47" s="199"/>
      <c r="AB47" s="199"/>
      <c r="AC47" s="140"/>
      <c r="AD47" s="223"/>
      <c r="AE47" s="224" t="str">
        <f t="shared" si="1"/>
        <v/>
      </c>
      <c r="AF47" s="134"/>
    </row>
    <row r="48">
      <c r="A48" s="188">
        <v>43.0</v>
      </c>
      <c r="B48" s="203" t="s">
        <v>343</v>
      </c>
      <c r="C48" s="198" t="s">
        <v>410</v>
      </c>
      <c r="D48" s="130" t="s">
        <v>208</v>
      </c>
      <c r="E48" s="138"/>
      <c r="F48" s="199"/>
      <c r="G48" s="199"/>
      <c r="H48" s="199"/>
      <c r="I48" s="199"/>
      <c r="J48" s="199"/>
      <c r="K48" s="199"/>
      <c r="L48" s="199"/>
      <c r="M48" s="199"/>
      <c r="N48" s="199"/>
      <c r="O48" s="199"/>
      <c r="P48" s="199"/>
      <c r="Q48" s="199"/>
      <c r="R48" s="199"/>
      <c r="S48" s="199"/>
      <c r="T48" s="199"/>
      <c r="U48" s="199"/>
      <c r="V48" s="199"/>
      <c r="W48" s="199"/>
      <c r="X48" s="199"/>
      <c r="Y48" s="199"/>
      <c r="Z48" s="199"/>
      <c r="AA48" s="199"/>
      <c r="AB48" s="199"/>
      <c r="AC48" s="199"/>
      <c r="AD48" s="199"/>
      <c r="AE48" s="215" t="s">
        <v>366</v>
      </c>
      <c r="AF48" s="134"/>
    </row>
  </sheetData>
  <mergeCells count="9">
    <mergeCell ref="W4:AB4"/>
    <mergeCell ref="AE4:AE5"/>
    <mergeCell ref="G2:P2"/>
    <mergeCell ref="R2:AA2"/>
    <mergeCell ref="A4:A5"/>
    <mergeCell ref="B4:B5"/>
    <mergeCell ref="C4:C5"/>
    <mergeCell ref="D4:E4"/>
    <mergeCell ref="F4:V4"/>
  </mergeCells>
  <conditionalFormatting sqref="AE20 AE28 AE36:AE48">
    <cfRule type="cellIs" dxfId="0" priority="1" operator="greaterThanOrEqual">
      <formula>(G20+I20+K20+L20+M20+N20+X20+Y20+AA20+AB20+AC20) &gt;=23</formula>
    </cfRule>
  </conditionalFormatting>
  <conditionalFormatting sqref="AE6:AE48">
    <cfRule type="cellIs" dxfId="0" priority="2" operator="greaterThanOrEqual">
      <formula>(F6+H6+J6+K6+L6+M6+W6+X6+Z6+AA6+AB6+АС4) &gt;=23</formula>
    </cfRule>
  </conditionalFormatting>
  <conditionalFormatting sqref="C4:C5">
    <cfRule type="expression" dxfId="0" priority="3">
      <formula>(#REF!+#REF!+#REF!+#REF!+#REF!+#REF!+#REF!+#REF!+#REF!) &gt;=9</formula>
    </cfRule>
  </conditionalFormatting>
  <conditionalFormatting sqref="AE6:AF48">
    <cfRule type="cellIs" dxfId="1" priority="4" operator="equal">
      <formula>"""допущен"""</formula>
    </cfRule>
  </conditionalFormatting>
  <conditionalFormatting sqref="AE6:AF48">
    <cfRule type="cellIs" dxfId="0" priority="5" operator="greaterThanOrEqual">
      <formula>(G6+I6+K6+L6+M6+N6+X6+Y6+AA6+AB6+AC6+АС4) &gt;=23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8.75"/>
    <col customWidth="1" min="2" max="2" width="23.0"/>
    <col customWidth="1" min="3" max="5" width="22.13"/>
    <col customWidth="1" min="6" max="6" width="19.25"/>
  </cols>
  <sheetData>
    <row r="1">
      <c r="A1" s="18"/>
      <c r="B1" s="19" t="s">
        <v>46</v>
      </c>
      <c r="C1" s="2"/>
      <c r="D1" s="2"/>
      <c r="E1" s="3"/>
      <c r="F1" s="20" t="s">
        <v>47</v>
      </c>
    </row>
    <row r="2">
      <c r="B2" s="21" t="s">
        <v>48</v>
      </c>
      <c r="C2" s="26" t="s">
        <v>51</v>
      </c>
      <c r="D2" s="23"/>
      <c r="E2" s="24"/>
    </row>
    <row r="3">
      <c r="A3" s="27" t="s">
        <v>52</v>
      </c>
      <c r="B3" s="28" t="s">
        <v>411</v>
      </c>
      <c r="C3" s="230"/>
      <c r="D3" s="231"/>
      <c r="E3" s="31"/>
      <c r="F3" s="36" t="s">
        <v>53</v>
      </c>
    </row>
    <row r="4">
      <c r="B4" s="48" t="s">
        <v>412</v>
      </c>
      <c r="C4" s="232"/>
      <c r="D4" s="143"/>
      <c r="E4" s="233"/>
      <c r="F4" s="40"/>
    </row>
    <row r="5">
      <c r="B5" s="48" t="s">
        <v>413</v>
      </c>
      <c r="C5" s="54" t="s">
        <v>414</v>
      </c>
      <c r="D5" s="55" t="s">
        <v>415</v>
      </c>
      <c r="E5" s="56" t="s">
        <v>82</v>
      </c>
      <c r="F5" s="57"/>
    </row>
    <row r="6" ht="60.75" customHeight="1">
      <c r="B6" s="234" t="s">
        <v>416</v>
      </c>
      <c r="C6" s="235" t="s">
        <v>417</v>
      </c>
      <c r="D6" s="236" t="s">
        <v>418</v>
      </c>
      <c r="E6" s="56" t="s">
        <v>82</v>
      </c>
      <c r="F6" s="36" t="s">
        <v>71</v>
      </c>
    </row>
    <row r="7">
      <c r="B7" s="64" t="s">
        <v>419</v>
      </c>
      <c r="C7" s="237" t="s">
        <v>420</v>
      </c>
      <c r="D7" s="212" t="s">
        <v>421</v>
      </c>
      <c r="E7" s="238" t="s">
        <v>63</v>
      </c>
      <c r="F7" s="57"/>
    </row>
    <row r="8">
      <c r="B8" s="64"/>
      <c r="C8" s="65" t="s">
        <v>422</v>
      </c>
      <c r="D8" s="66"/>
      <c r="E8" s="67"/>
      <c r="F8" s="36"/>
    </row>
    <row r="9">
      <c r="A9" s="63" t="s">
        <v>78</v>
      </c>
      <c r="B9" s="64" t="s">
        <v>423</v>
      </c>
      <c r="C9" s="239" t="s">
        <v>424</v>
      </c>
      <c r="D9" s="240" t="s">
        <v>425</v>
      </c>
      <c r="E9" s="241" t="s">
        <v>63</v>
      </c>
      <c r="F9" s="36" t="s">
        <v>89</v>
      </c>
    </row>
    <row r="10">
      <c r="B10" s="64" t="s">
        <v>426</v>
      </c>
      <c r="C10" s="237" t="s">
        <v>427</v>
      </c>
      <c r="D10" s="212" t="s">
        <v>428</v>
      </c>
      <c r="E10" s="241" t="s">
        <v>63</v>
      </c>
      <c r="F10" s="40"/>
    </row>
    <row r="11" ht="48.0" customHeight="1">
      <c r="B11" s="64" t="s">
        <v>429</v>
      </c>
      <c r="C11" s="237" t="s">
        <v>430</v>
      </c>
      <c r="D11" s="212" t="s">
        <v>431</v>
      </c>
      <c r="E11" s="242" t="s">
        <v>63</v>
      </c>
      <c r="F11" s="36"/>
    </row>
    <row r="12">
      <c r="B12" s="64" t="s">
        <v>432</v>
      </c>
      <c r="C12" s="237" t="s">
        <v>433</v>
      </c>
      <c r="D12" s="212" t="s">
        <v>434</v>
      </c>
      <c r="E12" s="242" t="s">
        <v>63</v>
      </c>
      <c r="F12" s="36" t="s">
        <v>106</v>
      </c>
    </row>
    <row r="13">
      <c r="A13" s="79"/>
      <c r="B13" s="79" t="s">
        <v>119</v>
      </c>
      <c r="C13" s="81" t="s">
        <v>435</v>
      </c>
      <c r="F13" s="81"/>
    </row>
    <row r="14">
      <c r="A14" s="79"/>
      <c r="B14" s="79"/>
      <c r="C14" s="81"/>
      <c r="D14" s="81"/>
      <c r="E14" s="81"/>
      <c r="F14" s="81"/>
    </row>
  </sheetData>
  <mergeCells count="11">
    <mergeCell ref="A3:A8"/>
    <mergeCell ref="A9:A12"/>
    <mergeCell ref="C8:E8"/>
    <mergeCell ref="C13:E13"/>
    <mergeCell ref="A1:A2"/>
    <mergeCell ref="B1:E1"/>
    <mergeCell ref="F1:F2"/>
    <mergeCell ref="C2:E2"/>
    <mergeCell ref="F3:F5"/>
    <mergeCell ref="F6:F7"/>
    <mergeCell ref="F9:F10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4.13"/>
    <col customWidth="1" min="2" max="2" width="7.63"/>
    <col customWidth="1" min="3" max="3" width="31.75"/>
    <col customWidth="1" min="4" max="5" width="12.0"/>
    <col customWidth="1" min="6" max="28" width="5.75"/>
    <col customWidth="1" min="29" max="29" width="6.0"/>
    <col customWidth="1" min="30" max="30" width="11.13"/>
    <col customWidth="1" hidden="1" min="31" max="31" width="11.13"/>
  </cols>
  <sheetData>
    <row r="1">
      <c r="A1" s="95"/>
      <c r="B1" s="95"/>
      <c r="C1" s="95"/>
      <c r="D1" s="95"/>
      <c r="E1" s="95"/>
      <c r="F1" s="95"/>
      <c r="G1" s="96"/>
      <c r="H1" s="96"/>
      <c r="I1" s="96"/>
      <c r="J1" s="96"/>
      <c r="K1" s="96"/>
      <c r="L1" s="96"/>
      <c r="M1" s="96"/>
      <c r="N1" s="96"/>
      <c r="O1" s="96"/>
      <c r="P1" s="96"/>
      <c r="Q1" s="95"/>
      <c r="R1" s="96"/>
      <c r="S1" s="96"/>
      <c r="T1" s="96"/>
      <c r="U1" s="96"/>
      <c r="V1" s="96"/>
      <c r="W1" s="96"/>
      <c r="X1" s="96"/>
      <c r="Y1" s="96"/>
      <c r="Z1" s="96"/>
      <c r="AA1" s="96"/>
      <c r="AB1" s="95"/>
      <c r="AC1" s="95"/>
      <c r="AD1" s="95"/>
      <c r="AE1" s="97"/>
    </row>
    <row r="2">
      <c r="A2" s="95"/>
      <c r="B2" s="95"/>
      <c r="C2" s="95"/>
      <c r="D2" s="95"/>
      <c r="E2" s="95"/>
      <c r="F2" s="98"/>
      <c r="G2" s="99" t="s">
        <v>144</v>
      </c>
      <c r="H2" s="100"/>
      <c r="I2" s="100"/>
      <c r="J2" s="100"/>
      <c r="K2" s="100"/>
      <c r="L2" s="100"/>
      <c r="M2" s="100"/>
      <c r="N2" s="100"/>
      <c r="O2" s="100"/>
      <c r="P2" s="100"/>
      <c r="Q2" s="101"/>
      <c r="R2" s="99" t="s">
        <v>145</v>
      </c>
      <c r="S2" s="100"/>
      <c r="T2" s="100"/>
      <c r="U2" s="100"/>
      <c r="V2" s="100"/>
      <c r="W2" s="100"/>
      <c r="X2" s="100"/>
      <c r="Y2" s="100"/>
      <c r="Z2" s="100"/>
      <c r="AA2" s="102"/>
      <c r="AB2" s="95"/>
      <c r="AC2" s="95"/>
      <c r="AD2" s="95"/>
      <c r="AE2" s="97"/>
    </row>
    <row r="3">
      <c r="A3" s="243"/>
      <c r="AD3" s="95"/>
      <c r="AE3" s="97"/>
    </row>
    <row r="4">
      <c r="A4" s="103" t="s">
        <v>146</v>
      </c>
      <c r="B4" s="104" t="s">
        <v>147</v>
      </c>
      <c r="C4" s="105" t="s">
        <v>148</v>
      </c>
      <c r="D4" s="106" t="s">
        <v>149</v>
      </c>
      <c r="E4" s="107"/>
      <c r="F4" s="108" t="s">
        <v>150</v>
      </c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7"/>
      <c r="W4" s="110" t="s">
        <v>151</v>
      </c>
      <c r="X4" s="111"/>
      <c r="Y4" s="111"/>
      <c r="Z4" s="111"/>
      <c r="AA4" s="111"/>
      <c r="AB4" s="112"/>
      <c r="AC4" s="113"/>
      <c r="AD4" s="114" t="s">
        <v>152</v>
      </c>
      <c r="AE4" s="115">
        <f>SUM(AE6:AE18)</f>
        <v>13</v>
      </c>
    </row>
    <row r="5">
      <c r="A5" s="116"/>
      <c r="B5" s="176"/>
      <c r="C5" s="118"/>
      <c r="D5" s="178" t="s">
        <v>153</v>
      </c>
      <c r="E5" s="179" t="s">
        <v>154</v>
      </c>
      <c r="F5" s="244" t="s">
        <v>155</v>
      </c>
      <c r="G5" s="245" t="s">
        <v>18</v>
      </c>
      <c r="H5" s="246" t="s">
        <v>156</v>
      </c>
      <c r="I5" s="245" t="s">
        <v>157</v>
      </c>
      <c r="J5" s="246" t="s">
        <v>158</v>
      </c>
      <c r="K5" s="246" t="s">
        <v>159</v>
      </c>
      <c r="L5" s="246" t="s">
        <v>160</v>
      </c>
      <c r="M5" s="246" t="s">
        <v>161</v>
      </c>
      <c r="N5" s="245" t="s">
        <v>162</v>
      </c>
      <c r="O5" s="245" t="s">
        <v>163</v>
      </c>
      <c r="P5" s="245" t="s">
        <v>164</v>
      </c>
      <c r="Q5" s="247" t="s">
        <v>165</v>
      </c>
      <c r="R5" s="245" t="s">
        <v>436</v>
      </c>
      <c r="S5" s="246" t="s">
        <v>167</v>
      </c>
      <c r="T5" s="245" t="s">
        <v>437</v>
      </c>
      <c r="U5" s="245" t="s">
        <v>438</v>
      </c>
      <c r="V5" s="245" t="s">
        <v>439</v>
      </c>
      <c r="W5" s="246" t="s">
        <v>171</v>
      </c>
      <c r="X5" s="246" t="s">
        <v>172</v>
      </c>
      <c r="Y5" s="246" t="s">
        <v>173</v>
      </c>
      <c r="Z5" s="248" t="s">
        <v>174</v>
      </c>
      <c r="AA5" s="248" t="s">
        <v>175</v>
      </c>
      <c r="AB5" s="248" t="s">
        <v>176</v>
      </c>
      <c r="AC5" s="249" t="s">
        <v>177</v>
      </c>
      <c r="AD5" s="177"/>
      <c r="AE5" s="115" t="s">
        <v>179</v>
      </c>
    </row>
    <row r="6">
      <c r="A6" s="185">
        <v>1.0</v>
      </c>
      <c r="B6" s="186" t="s">
        <v>345</v>
      </c>
      <c r="C6" s="250" t="s">
        <v>346</v>
      </c>
      <c r="D6" s="137" t="s">
        <v>217</v>
      </c>
      <c r="E6" s="204"/>
      <c r="F6" s="251"/>
      <c r="G6" s="252"/>
      <c r="H6" s="222"/>
      <c r="I6" s="222"/>
      <c r="J6" s="221"/>
      <c r="K6" s="221"/>
      <c r="L6" s="222"/>
      <c r="M6" s="222"/>
      <c r="N6" s="221"/>
      <c r="O6" s="221"/>
      <c r="P6" s="221"/>
      <c r="Q6" s="222"/>
      <c r="R6" s="221"/>
      <c r="S6" s="221"/>
      <c r="T6" s="221"/>
      <c r="U6" s="222"/>
      <c r="V6" s="221"/>
      <c r="W6" s="221"/>
      <c r="X6" s="221"/>
      <c r="Y6" s="253"/>
      <c r="Z6" s="221"/>
      <c r="AA6" s="222"/>
      <c r="AB6" s="221"/>
      <c r="AC6" s="221"/>
      <c r="AD6" s="224" t="str">
        <f t="shared" ref="AD6:AD18" si="1">IF(COUNTA(F6:AC6)=24,"допущен","")</f>
        <v/>
      </c>
      <c r="AE6" s="134">
        <v>1.0</v>
      </c>
    </row>
    <row r="7">
      <c r="A7" s="188">
        <v>2.0</v>
      </c>
      <c r="B7" s="189" t="s">
        <v>345</v>
      </c>
      <c r="C7" s="250" t="s">
        <v>347</v>
      </c>
      <c r="D7" s="137" t="s">
        <v>217</v>
      </c>
      <c r="E7" s="204"/>
      <c r="F7" s="156"/>
      <c r="G7" s="156"/>
      <c r="H7" s="156"/>
      <c r="I7" s="140"/>
      <c r="J7" s="156"/>
      <c r="K7" s="156"/>
      <c r="L7" s="156"/>
      <c r="M7" s="156"/>
      <c r="N7" s="140"/>
      <c r="O7" s="140"/>
      <c r="P7" s="140"/>
      <c r="Q7" s="156"/>
      <c r="R7" s="140"/>
      <c r="S7" s="140"/>
      <c r="T7" s="140"/>
      <c r="U7" s="140"/>
      <c r="V7" s="140"/>
      <c r="W7" s="156"/>
      <c r="X7" s="156"/>
      <c r="Y7" s="156"/>
      <c r="Z7" s="140"/>
      <c r="AA7" s="140"/>
      <c r="AB7" s="140"/>
      <c r="AC7" s="140"/>
      <c r="AD7" s="224" t="str">
        <f t="shared" si="1"/>
        <v/>
      </c>
      <c r="AE7" s="134">
        <v>1.0</v>
      </c>
    </row>
    <row r="8">
      <c r="A8" s="254">
        <v>3.0</v>
      </c>
      <c r="B8" s="189" t="s">
        <v>345</v>
      </c>
      <c r="C8" s="250" t="s">
        <v>351</v>
      </c>
      <c r="D8" s="137" t="s">
        <v>201</v>
      </c>
      <c r="E8" s="204"/>
      <c r="F8" s="156"/>
      <c r="G8" s="140"/>
      <c r="H8" s="140"/>
      <c r="I8" s="156"/>
      <c r="J8" s="140"/>
      <c r="K8" s="156"/>
      <c r="L8" s="156"/>
      <c r="M8" s="156"/>
      <c r="N8" s="209"/>
      <c r="O8" s="140"/>
      <c r="P8" s="140"/>
      <c r="Q8" s="156"/>
      <c r="R8" s="140"/>
      <c r="S8" s="156"/>
      <c r="T8" s="140"/>
      <c r="U8" s="140"/>
      <c r="V8" s="140"/>
      <c r="W8" s="140"/>
      <c r="X8" s="156"/>
      <c r="Y8" s="140"/>
      <c r="Z8" s="140"/>
      <c r="AA8" s="140"/>
      <c r="AB8" s="140"/>
      <c r="AC8" s="140"/>
      <c r="AD8" s="224" t="str">
        <f t="shared" si="1"/>
        <v/>
      </c>
      <c r="AE8" s="134">
        <v>1.0</v>
      </c>
    </row>
    <row r="9">
      <c r="A9" s="188">
        <v>4.0</v>
      </c>
      <c r="B9" s="189" t="s">
        <v>345</v>
      </c>
      <c r="C9" s="250" t="s">
        <v>357</v>
      </c>
      <c r="D9" s="137" t="s">
        <v>217</v>
      </c>
      <c r="E9" s="204"/>
      <c r="F9" s="156"/>
      <c r="G9" s="140"/>
      <c r="H9" s="156"/>
      <c r="I9" s="156"/>
      <c r="J9" s="156"/>
      <c r="K9" s="156"/>
      <c r="L9" s="156"/>
      <c r="M9" s="156"/>
      <c r="N9" s="140"/>
      <c r="O9" s="140"/>
      <c r="P9" s="140"/>
      <c r="Q9" s="156"/>
      <c r="R9" s="140"/>
      <c r="S9" s="156"/>
      <c r="T9" s="140"/>
      <c r="U9" s="140"/>
      <c r="V9" s="140"/>
      <c r="W9" s="140"/>
      <c r="X9" s="156"/>
      <c r="Y9" s="140"/>
      <c r="Z9" s="140"/>
      <c r="AA9" s="140"/>
      <c r="AB9" s="140"/>
      <c r="AC9" s="140"/>
      <c r="AD9" s="224" t="str">
        <f t="shared" si="1"/>
        <v/>
      </c>
      <c r="AE9" s="134">
        <v>1.0</v>
      </c>
    </row>
    <row r="10">
      <c r="A10" s="254">
        <v>5.0</v>
      </c>
      <c r="B10" s="189" t="s">
        <v>345</v>
      </c>
      <c r="C10" s="250" t="s">
        <v>358</v>
      </c>
      <c r="D10" s="137" t="s">
        <v>243</v>
      </c>
      <c r="E10" s="204"/>
      <c r="F10" s="156"/>
      <c r="G10" s="156"/>
      <c r="H10" s="156"/>
      <c r="I10" s="156"/>
      <c r="J10" s="156"/>
      <c r="K10" s="140"/>
      <c r="L10" s="140"/>
      <c r="M10" s="156"/>
      <c r="N10" s="156"/>
      <c r="O10" s="156"/>
      <c r="P10" s="156"/>
      <c r="Q10" s="156"/>
      <c r="R10" s="156"/>
      <c r="S10" s="156"/>
      <c r="T10" s="156"/>
      <c r="U10" s="156"/>
      <c r="V10" s="156"/>
      <c r="W10" s="156"/>
      <c r="X10" s="156"/>
      <c r="Y10" s="156"/>
      <c r="Z10" s="156"/>
      <c r="AA10" s="156"/>
      <c r="AB10" s="156"/>
      <c r="AC10" s="156"/>
      <c r="AD10" s="224" t="str">
        <f t="shared" si="1"/>
        <v/>
      </c>
      <c r="AE10" s="134">
        <v>1.0</v>
      </c>
    </row>
    <row r="11" ht="18.75" customHeight="1">
      <c r="A11" s="188">
        <v>6.0</v>
      </c>
      <c r="B11" s="189" t="s">
        <v>345</v>
      </c>
      <c r="C11" s="250" t="s">
        <v>361</v>
      </c>
      <c r="D11" s="137" t="s">
        <v>229</v>
      </c>
      <c r="E11" s="213"/>
      <c r="F11" s="156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40"/>
      <c r="Y11" s="140"/>
      <c r="Z11" s="140"/>
      <c r="AA11" s="140"/>
      <c r="AB11" s="140"/>
      <c r="AC11" s="140"/>
      <c r="AD11" s="224" t="str">
        <f t="shared" si="1"/>
        <v/>
      </c>
      <c r="AE11" s="134">
        <v>1.0</v>
      </c>
    </row>
    <row r="12">
      <c r="A12" s="254">
        <v>7.0</v>
      </c>
      <c r="B12" s="189" t="s">
        <v>345</v>
      </c>
      <c r="C12" s="250" t="s">
        <v>368</v>
      </c>
      <c r="D12" s="255" t="s">
        <v>369</v>
      </c>
      <c r="E12" s="204"/>
      <c r="F12" s="156"/>
      <c r="G12" s="140"/>
      <c r="H12" s="156"/>
      <c r="I12" s="156"/>
      <c r="J12" s="156"/>
      <c r="K12" s="156"/>
      <c r="L12" s="156"/>
      <c r="M12" s="156"/>
      <c r="N12" s="140"/>
      <c r="O12" s="140"/>
      <c r="P12" s="140"/>
      <c r="Q12" s="156"/>
      <c r="R12" s="140"/>
      <c r="S12" s="156"/>
      <c r="T12" s="140"/>
      <c r="U12" s="140"/>
      <c r="V12" s="140"/>
      <c r="W12" s="156"/>
      <c r="X12" s="156"/>
      <c r="Y12" s="156"/>
      <c r="Z12" s="140"/>
      <c r="AA12" s="140"/>
      <c r="AB12" s="140"/>
      <c r="AC12" s="140"/>
      <c r="AD12" s="224" t="str">
        <f t="shared" si="1"/>
        <v/>
      </c>
      <c r="AE12" s="134">
        <v>1.0</v>
      </c>
    </row>
    <row r="13">
      <c r="A13" s="188">
        <v>8.0</v>
      </c>
      <c r="B13" s="189" t="s">
        <v>345</v>
      </c>
      <c r="C13" s="250" t="s">
        <v>372</v>
      </c>
      <c r="D13" s="137" t="s">
        <v>206</v>
      </c>
      <c r="E13" s="204"/>
      <c r="F13" s="156"/>
      <c r="G13" s="140"/>
      <c r="H13" s="156"/>
      <c r="I13" s="156"/>
      <c r="J13" s="156"/>
      <c r="K13" s="156"/>
      <c r="L13" s="156"/>
      <c r="M13" s="156"/>
      <c r="N13" s="140"/>
      <c r="O13" s="140"/>
      <c r="P13" s="140"/>
      <c r="Q13" s="156"/>
      <c r="R13" s="140"/>
      <c r="S13" s="140"/>
      <c r="T13" s="140"/>
      <c r="U13" s="140"/>
      <c r="V13" s="140"/>
      <c r="W13" s="209"/>
      <c r="X13" s="140"/>
      <c r="Y13" s="140"/>
      <c r="Z13" s="140"/>
      <c r="AA13" s="140"/>
      <c r="AB13" s="140"/>
      <c r="AC13" s="140"/>
      <c r="AD13" s="224" t="str">
        <f t="shared" si="1"/>
        <v/>
      </c>
      <c r="AE13" s="134">
        <v>1.0</v>
      </c>
    </row>
    <row r="14">
      <c r="A14" s="254">
        <v>9.0</v>
      </c>
      <c r="B14" s="189" t="s">
        <v>345</v>
      </c>
      <c r="C14" s="250" t="s">
        <v>385</v>
      </c>
      <c r="D14" s="137" t="s">
        <v>217</v>
      </c>
      <c r="E14" s="204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  <c r="Z14" s="156"/>
      <c r="AA14" s="156"/>
      <c r="AB14" s="156"/>
      <c r="AC14" s="156"/>
      <c r="AD14" s="224" t="str">
        <f t="shared" si="1"/>
        <v/>
      </c>
      <c r="AE14" s="134">
        <v>1.0</v>
      </c>
    </row>
    <row r="15">
      <c r="A15" s="188">
        <v>10.0</v>
      </c>
      <c r="B15" s="189" t="s">
        <v>345</v>
      </c>
      <c r="C15" s="250" t="s">
        <v>390</v>
      </c>
      <c r="D15" s="137" t="s">
        <v>243</v>
      </c>
      <c r="E15" s="204"/>
      <c r="F15" s="156"/>
      <c r="G15" s="140"/>
      <c r="H15" s="140"/>
      <c r="I15" s="140"/>
      <c r="J15" s="156"/>
      <c r="K15" s="156"/>
      <c r="L15" s="156"/>
      <c r="M15" s="156"/>
      <c r="N15" s="140"/>
      <c r="O15" s="140"/>
      <c r="P15" s="140"/>
      <c r="Q15" s="156"/>
      <c r="R15" s="140"/>
      <c r="S15" s="156"/>
      <c r="T15" s="140"/>
      <c r="U15" s="140"/>
      <c r="V15" s="140"/>
      <c r="W15" s="140"/>
      <c r="X15" s="156"/>
      <c r="Y15" s="156"/>
      <c r="Z15" s="140"/>
      <c r="AA15" s="140"/>
      <c r="AB15" s="140"/>
      <c r="AC15" s="140"/>
      <c r="AD15" s="224" t="str">
        <f t="shared" si="1"/>
        <v/>
      </c>
      <c r="AE15" s="134">
        <v>1.0</v>
      </c>
    </row>
    <row r="16">
      <c r="A16" s="254">
        <v>11.0</v>
      </c>
      <c r="B16" s="189" t="s">
        <v>345</v>
      </c>
      <c r="C16" s="250" t="s">
        <v>397</v>
      </c>
      <c r="D16" s="137" t="s">
        <v>206</v>
      </c>
      <c r="E16" s="204"/>
      <c r="F16" s="156"/>
      <c r="G16" s="140"/>
      <c r="H16" s="156"/>
      <c r="I16" s="156"/>
      <c r="J16" s="156"/>
      <c r="K16" s="156"/>
      <c r="L16" s="156"/>
      <c r="M16" s="156"/>
      <c r="N16" s="140"/>
      <c r="O16" s="140"/>
      <c r="P16" s="140"/>
      <c r="Q16" s="156"/>
      <c r="R16" s="156"/>
      <c r="S16" s="156"/>
      <c r="T16" s="156"/>
      <c r="U16" s="156"/>
      <c r="V16" s="140"/>
      <c r="W16" s="140"/>
      <c r="X16" s="156"/>
      <c r="Y16" s="156"/>
      <c r="Z16" s="156"/>
      <c r="AA16" s="140" t="s">
        <v>440</v>
      </c>
      <c r="AB16" s="140"/>
      <c r="AC16" s="140"/>
      <c r="AD16" s="224" t="str">
        <f t="shared" si="1"/>
        <v/>
      </c>
      <c r="AE16" s="134">
        <v>1.0</v>
      </c>
    </row>
    <row r="17">
      <c r="A17" s="188">
        <v>12.0</v>
      </c>
      <c r="B17" s="189" t="s">
        <v>345</v>
      </c>
      <c r="C17" s="250" t="s">
        <v>399</v>
      </c>
      <c r="D17" s="137" t="s">
        <v>191</v>
      </c>
      <c r="E17" s="204"/>
      <c r="F17" s="156"/>
      <c r="G17" s="140"/>
      <c r="H17" s="156"/>
      <c r="I17" s="140"/>
      <c r="J17" s="140"/>
      <c r="K17" s="140"/>
      <c r="L17" s="140"/>
      <c r="M17" s="140"/>
      <c r="N17" s="140"/>
      <c r="O17" s="140"/>
      <c r="P17" s="140"/>
      <c r="Q17" s="140"/>
      <c r="R17" s="140"/>
      <c r="S17" s="156"/>
      <c r="T17" s="140"/>
      <c r="U17" s="140"/>
      <c r="V17" s="140"/>
      <c r="W17" s="156"/>
      <c r="X17" s="156"/>
      <c r="Y17" s="156"/>
      <c r="Z17" s="140"/>
      <c r="AA17" s="140"/>
      <c r="AB17" s="140"/>
      <c r="AC17" s="140"/>
      <c r="AD17" s="224" t="str">
        <f t="shared" si="1"/>
        <v/>
      </c>
      <c r="AE17" s="134">
        <v>1.0</v>
      </c>
    </row>
    <row r="18">
      <c r="A18" s="254">
        <v>13.0</v>
      </c>
      <c r="B18" s="189" t="s">
        <v>345</v>
      </c>
      <c r="C18" s="136" t="s">
        <v>403</v>
      </c>
      <c r="D18" s="227" t="s">
        <v>404</v>
      </c>
      <c r="E18" s="228" t="s">
        <v>273</v>
      </c>
      <c r="F18" s="156"/>
      <c r="G18" s="140"/>
      <c r="H18" s="140"/>
      <c r="I18" s="140"/>
      <c r="J18" s="140"/>
      <c r="K18" s="140"/>
      <c r="L18" s="140"/>
      <c r="M18" s="140"/>
      <c r="N18" s="140"/>
      <c r="O18" s="140"/>
      <c r="P18" s="140"/>
      <c r="Q18" s="156"/>
      <c r="R18" s="140"/>
      <c r="S18" s="140"/>
      <c r="T18" s="140"/>
      <c r="U18" s="140"/>
      <c r="V18" s="140"/>
      <c r="W18" s="156"/>
      <c r="X18" s="156"/>
      <c r="Y18" s="156"/>
      <c r="Z18" s="156"/>
      <c r="AA18" s="156"/>
      <c r="AB18" s="156"/>
      <c r="AC18" s="156"/>
      <c r="AD18" s="224" t="str">
        <f t="shared" si="1"/>
        <v/>
      </c>
      <c r="AE18" s="134">
        <v>1.0</v>
      </c>
    </row>
  </sheetData>
  <mergeCells count="10">
    <mergeCell ref="F4:V4"/>
    <mergeCell ref="W4:AB4"/>
    <mergeCell ref="G2:P2"/>
    <mergeCell ref="R2:AA2"/>
    <mergeCell ref="A3:AC3"/>
    <mergeCell ref="A4:A5"/>
    <mergeCell ref="B4:B5"/>
    <mergeCell ref="C4:C5"/>
    <mergeCell ref="D4:E4"/>
    <mergeCell ref="AD4:AD5"/>
  </mergeCells>
  <conditionalFormatting sqref="C4:C5">
    <cfRule type="expression" dxfId="0" priority="1">
      <formula>(#REF!+#REF!+#REF!+#REF!+#REF!+#REF!+#REF!+#REF!+#REF!) &gt;=9</formula>
    </cfRule>
  </conditionalFormatting>
  <conditionalFormatting sqref="AD6:AE18">
    <cfRule type="cellIs" dxfId="1" priority="2" operator="equal">
      <formula>"""допущен"""</formula>
    </cfRule>
  </conditionalFormatting>
  <conditionalFormatting sqref="AD6:AE18">
    <cfRule type="cellIs" dxfId="0" priority="3" operator="greaterThanOrEqual">
      <formula>(G6+I6+K6+L6+M6+N6+X6+Y6+AA6+AB6+AC6) &gt;=23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